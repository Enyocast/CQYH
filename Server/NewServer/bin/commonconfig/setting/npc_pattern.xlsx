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90" windowWidth="21840" windowHeight="13470"/>
  </bookViews>
  <sheets>
    <sheet name="npc_pattern" sheetId="1" r:id="rId1"/>
    <sheet name="怪物强度修正" sheetId="2" r:id="rId2"/>
    <sheet name="原始值" sheetId="4" r:id="rId3"/>
    <sheet name="Sheet1" sheetId="5" r:id="rId4"/>
  </sheets>
  <calcPr calcId="145621"/>
</workbook>
</file>

<file path=xl/calcChain.xml><?xml version="1.0" encoding="utf-8"?>
<calcChain xmlns="http://schemas.openxmlformats.org/spreadsheetml/2006/main">
  <c r="I397" i="1" l="1"/>
  <c r="I398" i="1"/>
  <c r="I400" i="1"/>
  <c r="I401" i="1"/>
  <c r="I402" i="1"/>
  <c r="I403" i="1"/>
  <c r="I396" i="1"/>
  <c r="N403" i="1" l="1"/>
  <c r="M403" i="1"/>
  <c r="A403" i="1"/>
  <c r="N402" i="1"/>
  <c r="M402" i="1"/>
  <c r="A402" i="1"/>
  <c r="N401" i="1"/>
  <c r="M401" i="1"/>
  <c r="A401" i="1"/>
  <c r="N400" i="1"/>
  <c r="M400" i="1"/>
  <c r="A400" i="1"/>
  <c r="N399" i="1"/>
  <c r="M399" i="1"/>
  <c r="A399" i="1"/>
  <c r="N398" i="1"/>
  <c r="M398" i="1"/>
  <c r="A398" i="1"/>
  <c r="N397" i="1"/>
  <c r="M397" i="1"/>
  <c r="A397" i="1"/>
  <c r="N396" i="1"/>
  <c r="M396" i="1"/>
  <c r="A396" i="1"/>
  <c r="A404" i="1"/>
  <c r="K404" i="1"/>
  <c r="M404" i="1" s="1"/>
  <c r="L404" i="1"/>
  <c r="N404" i="1"/>
  <c r="S404" i="1"/>
  <c r="T404" i="1"/>
  <c r="N308" i="1" l="1"/>
  <c r="M308" i="1"/>
  <c r="A308" i="1"/>
  <c r="M305" i="1" l="1"/>
  <c r="N305" i="1"/>
  <c r="M306" i="1"/>
  <c r="N306" i="1"/>
  <c r="M307" i="1"/>
  <c r="N307" i="1"/>
  <c r="I306" i="1"/>
  <c r="I307" i="1"/>
  <c r="I305" i="1"/>
  <c r="A307" i="1"/>
  <c r="A306" i="1"/>
  <c r="A305" i="1"/>
  <c r="N394" i="1" l="1"/>
  <c r="M394" i="1"/>
  <c r="I394" i="1"/>
  <c r="A394" i="1"/>
  <c r="N393" i="1" l="1"/>
  <c r="M393" i="1"/>
  <c r="I393" i="1"/>
  <c r="A393" i="1"/>
  <c r="N374" i="1"/>
  <c r="M374" i="1"/>
  <c r="I374" i="1"/>
  <c r="A374" i="1"/>
  <c r="I299" i="1" l="1"/>
  <c r="I300" i="1"/>
  <c r="I301" i="1"/>
  <c r="I302" i="1"/>
  <c r="I303" i="1"/>
  <c r="I304" i="1"/>
  <c r="I297" i="1"/>
  <c r="N304" i="1"/>
  <c r="M304" i="1"/>
  <c r="A304" i="1"/>
  <c r="N303" i="1"/>
  <c r="M303" i="1"/>
  <c r="A303" i="1"/>
  <c r="N302" i="1"/>
  <c r="M302" i="1"/>
  <c r="A302" i="1"/>
  <c r="N301" i="1"/>
  <c r="M301" i="1"/>
  <c r="A301" i="1"/>
  <c r="N300" i="1"/>
  <c r="M300" i="1"/>
  <c r="A300" i="1"/>
  <c r="N299" i="1"/>
  <c r="M299" i="1"/>
  <c r="A299" i="1"/>
  <c r="N298" i="1" l="1"/>
  <c r="M298" i="1"/>
  <c r="A298" i="1"/>
  <c r="A287" i="1" l="1"/>
  <c r="G287" i="1"/>
  <c r="H287" i="1"/>
  <c r="L287" i="1" s="1"/>
  <c r="N287" i="1" s="1"/>
  <c r="I287" i="1"/>
  <c r="K287" i="1"/>
  <c r="M287" i="1" s="1"/>
  <c r="A231" i="1"/>
  <c r="G231" i="1"/>
  <c r="H231" i="1"/>
  <c r="L231" i="1" s="1"/>
  <c r="N231" i="1" s="1"/>
  <c r="I231" i="1"/>
  <c r="K231" i="1"/>
  <c r="M231" i="1" s="1"/>
  <c r="A175" i="1"/>
  <c r="G175" i="1"/>
  <c r="H175" i="1"/>
  <c r="L175" i="1" s="1"/>
  <c r="N175" i="1" s="1"/>
  <c r="I175" i="1"/>
  <c r="O175" i="1"/>
  <c r="A119" i="1"/>
  <c r="G119" i="1"/>
  <c r="H119" i="1"/>
  <c r="L119" i="1" s="1"/>
  <c r="N119" i="1" s="1"/>
  <c r="I119" i="1"/>
  <c r="A63" i="1"/>
  <c r="K63" i="1"/>
  <c r="M63" i="1" s="1"/>
  <c r="L63" i="1"/>
  <c r="N63" i="1" s="1"/>
  <c r="O63" i="1"/>
  <c r="P63" i="1"/>
  <c r="Q63" i="1"/>
  <c r="R63" i="1"/>
  <c r="S63" i="1"/>
  <c r="T63" i="1"/>
  <c r="U63" i="1"/>
  <c r="W63" i="1"/>
  <c r="X63" i="1"/>
  <c r="Y63" i="1"/>
  <c r="Z63" i="1"/>
  <c r="AA63" i="1"/>
  <c r="B287" i="4"/>
  <c r="C287" i="4"/>
  <c r="D287" i="4"/>
  <c r="E287" i="4"/>
  <c r="F287" i="4"/>
  <c r="G287" i="4"/>
  <c r="H287" i="4"/>
  <c r="I287" i="4"/>
  <c r="J287" i="4"/>
  <c r="K287" i="4"/>
  <c r="L287" i="4"/>
  <c r="M287" i="4"/>
  <c r="N287" i="4"/>
  <c r="O287" i="4"/>
  <c r="P287" i="4"/>
  <c r="Q287" i="4"/>
  <c r="R287" i="4"/>
  <c r="S287" i="4"/>
  <c r="T287" i="4"/>
  <c r="B231" i="4"/>
  <c r="C231" i="4"/>
  <c r="D231" i="4"/>
  <c r="E231" i="4"/>
  <c r="F231" i="4"/>
  <c r="H231" i="4"/>
  <c r="I231" i="4"/>
  <c r="J231" i="4"/>
  <c r="K231" i="4"/>
  <c r="L231" i="4"/>
  <c r="M231" i="4"/>
  <c r="N231" i="4"/>
  <c r="O231" i="4"/>
  <c r="P231" i="4"/>
  <c r="Q231" i="4"/>
  <c r="R231" i="4"/>
  <c r="S231" i="4"/>
  <c r="T231" i="4"/>
  <c r="B175" i="4"/>
  <c r="C175" i="4"/>
  <c r="D175" i="4"/>
  <c r="E175" i="4"/>
  <c r="F175" i="4"/>
  <c r="G175" i="4"/>
  <c r="H175" i="4"/>
  <c r="I175" i="4"/>
  <c r="J175" i="4"/>
  <c r="K175" i="4"/>
  <c r="L175" i="4"/>
  <c r="M175" i="4"/>
  <c r="N175" i="4"/>
  <c r="O175" i="4"/>
  <c r="P175" i="4"/>
  <c r="Q175" i="4"/>
  <c r="R175" i="4"/>
  <c r="S175" i="4"/>
  <c r="T175" i="4"/>
  <c r="B119" i="4"/>
  <c r="C119" i="4"/>
  <c r="D119" i="4"/>
  <c r="E119" i="4"/>
  <c r="F119" i="4"/>
  <c r="G119" i="4"/>
  <c r="H119" i="4"/>
  <c r="I119" i="4"/>
  <c r="J119" i="4"/>
  <c r="K119" i="4"/>
  <c r="L119" i="4"/>
  <c r="M119" i="4"/>
  <c r="N119" i="4"/>
  <c r="O119" i="4"/>
  <c r="P119" i="4"/>
  <c r="Q119" i="4"/>
  <c r="R119" i="4"/>
  <c r="S119" i="4"/>
  <c r="T119" i="4"/>
  <c r="X175" i="1" l="1"/>
  <c r="S175" i="1"/>
  <c r="U231" i="1"/>
  <c r="Z287" i="1"/>
  <c r="U287" i="1"/>
  <c r="Z175" i="1"/>
  <c r="U175" i="1"/>
  <c r="Q175" i="1"/>
  <c r="Z231" i="1"/>
  <c r="Q231" i="1"/>
  <c r="Q287" i="1"/>
  <c r="X287" i="1"/>
  <c r="S287" i="1"/>
  <c r="O287" i="1"/>
  <c r="X231" i="1"/>
  <c r="S231" i="1"/>
  <c r="O231" i="1"/>
  <c r="Z119" i="1"/>
  <c r="X119" i="1"/>
  <c r="U119" i="1"/>
  <c r="S119" i="1"/>
  <c r="Q119" i="1"/>
  <c r="O119" i="1"/>
  <c r="K119" i="1"/>
  <c r="M119" i="1" s="1"/>
  <c r="K175" i="1"/>
  <c r="M175" i="1" s="1"/>
  <c r="AA119" i="1"/>
  <c r="Y119" i="1"/>
  <c r="W119" i="1"/>
  <c r="T119" i="1"/>
  <c r="R119" i="1"/>
  <c r="P119" i="1"/>
  <c r="AA175" i="1"/>
  <c r="Y175" i="1"/>
  <c r="W175" i="1"/>
  <c r="T175" i="1"/>
  <c r="R175" i="1"/>
  <c r="P175" i="1"/>
  <c r="AA231" i="1"/>
  <c r="Y231" i="1"/>
  <c r="W231" i="1"/>
  <c r="T231" i="1"/>
  <c r="R231" i="1"/>
  <c r="P231" i="1"/>
  <c r="AA287" i="1"/>
  <c r="Y287" i="1"/>
  <c r="W287" i="1"/>
  <c r="T287" i="1"/>
  <c r="R287" i="1"/>
  <c r="P287" i="1"/>
  <c r="A277" i="1"/>
  <c r="G277" i="1"/>
  <c r="H277" i="1"/>
  <c r="L277" i="1" s="1"/>
  <c r="N277" i="1" s="1"/>
  <c r="I277" i="1"/>
  <c r="K277" i="1"/>
  <c r="M277" i="1" s="1"/>
  <c r="A278" i="1"/>
  <c r="G278" i="1"/>
  <c r="H278" i="1"/>
  <c r="L278" i="1" s="1"/>
  <c r="N278" i="1" s="1"/>
  <c r="I278" i="1"/>
  <c r="K278" i="1"/>
  <c r="M278" i="1" s="1"/>
  <c r="A279" i="1"/>
  <c r="G279" i="1"/>
  <c r="H279" i="1"/>
  <c r="L279" i="1" s="1"/>
  <c r="N279" i="1" s="1"/>
  <c r="I279" i="1"/>
  <c r="K279" i="1"/>
  <c r="M279" i="1" s="1"/>
  <c r="A280" i="1"/>
  <c r="G280" i="1"/>
  <c r="H280" i="1"/>
  <c r="L280" i="1" s="1"/>
  <c r="N280" i="1" s="1"/>
  <c r="I280" i="1"/>
  <c r="K280" i="1"/>
  <c r="M280" i="1" s="1"/>
  <c r="A281" i="1"/>
  <c r="G281" i="1"/>
  <c r="H281" i="1"/>
  <c r="L281" i="1" s="1"/>
  <c r="N281" i="1" s="1"/>
  <c r="I281" i="1"/>
  <c r="K281" i="1"/>
  <c r="M281" i="1" s="1"/>
  <c r="A282" i="1"/>
  <c r="G282" i="1"/>
  <c r="H282" i="1"/>
  <c r="L282" i="1" s="1"/>
  <c r="N282" i="1" s="1"/>
  <c r="I282" i="1"/>
  <c r="K282" i="1"/>
  <c r="M282" i="1" s="1"/>
  <c r="A283" i="1"/>
  <c r="G283" i="1"/>
  <c r="H283" i="1"/>
  <c r="Q283" i="1" s="1"/>
  <c r="I283" i="1"/>
  <c r="K283" i="1"/>
  <c r="M283" i="1" s="1"/>
  <c r="A284" i="1"/>
  <c r="G284" i="1"/>
  <c r="H284" i="1"/>
  <c r="Q284" i="1" s="1"/>
  <c r="I284" i="1"/>
  <c r="A285" i="1"/>
  <c r="G285" i="1"/>
  <c r="H285" i="1"/>
  <c r="Q285" i="1" s="1"/>
  <c r="I285" i="1"/>
  <c r="K285" i="1"/>
  <c r="M285" i="1" s="1"/>
  <c r="A286" i="1"/>
  <c r="G286" i="1"/>
  <c r="H286" i="1"/>
  <c r="P286" i="1" s="1"/>
  <c r="I286" i="1"/>
  <c r="K286" i="1"/>
  <c r="M286" i="1" s="1"/>
  <c r="A221" i="1"/>
  <c r="G221" i="1"/>
  <c r="H221" i="1"/>
  <c r="L221" i="1" s="1"/>
  <c r="N221" i="1" s="1"/>
  <c r="I221" i="1"/>
  <c r="K221" i="1"/>
  <c r="M221" i="1" s="1"/>
  <c r="A222" i="1"/>
  <c r="G222" i="1"/>
  <c r="H222" i="1"/>
  <c r="L222" i="1" s="1"/>
  <c r="N222" i="1" s="1"/>
  <c r="I222" i="1"/>
  <c r="K222" i="1"/>
  <c r="M222" i="1" s="1"/>
  <c r="A223" i="1"/>
  <c r="G223" i="1"/>
  <c r="H223" i="1"/>
  <c r="L223" i="1" s="1"/>
  <c r="N223" i="1" s="1"/>
  <c r="I223" i="1"/>
  <c r="K223" i="1"/>
  <c r="M223" i="1" s="1"/>
  <c r="A224" i="1"/>
  <c r="G224" i="1"/>
  <c r="H224" i="1"/>
  <c r="L224" i="1" s="1"/>
  <c r="N224" i="1" s="1"/>
  <c r="I224" i="1"/>
  <c r="K224" i="1"/>
  <c r="M224" i="1" s="1"/>
  <c r="A225" i="1"/>
  <c r="G225" i="1"/>
  <c r="H225" i="1"/>
  <c r="L225" i="1" s="1"/>
  <c r="N225" i="1" s="1"/>
  <c r="I225" i="1"/>
  <c r="K225" i="1"/>
  <c r="M225" i="1" s="1"/>
  <c r="A226" i="1"/>
  <c r="G226" i="1"/>
  <c r="H226" i="1"/>
  <c r="L226" i="1" s="1"/>
  <c r="N226" i="1" s="1"/>
  <c r="I226" i="1"/>
  <c r="K226" i="1"/>
  <c r="M226" i="1" s="1"/>
  <c r="A227" i="1"/>
  <c r="G227" i="1"/>
  <c r="H227" i="1"/>
  <c r="P227" i="1" s="1"/>
  <c r="I227" i="1"/>
  <c r="K227" i="1"/>
  <c r="M227" i="1" s="1"/>
  <c r="A228" i="1"/>
  <c r="G228" i="1"/>
  <c r="H228" i="1"/>
  <c r="I228" i="1"/>
  <c r="R228" i="1"/>
  <c r="W228" i="1"/>
  <c r="AA228" i="1"/>
  <c r="A229" i="1"/>
  <c r="G229" i="1"/>
  <c r="H229" i="1"/>
  <c r="I229" i="1"/>
  <c r="K229" i="1"/>
  <c r="M229" i="1" s="1"/>
  <c r="A230" i="1"/>
  <c r="G230" i="1"/>
  <c r="H230" i="1"/>
  <c r="U230" i="1" s="1"/>
  <c r="I230" i="1"/>
  <c r="K230" i="1"/>
  <c r="M230" i="1" s="1"/>
  <c r="A165" i="1"/>
  <c r="G165" i="1"/>
  <c r="H165" i="1"/>
  <c r="O165" i="1" s="1"/>
  <c r="I165" i="1"/>
  <c r="K165" i="1"/>
  <c r="M165" i="1" s="1"/>
  <c r="A166" i="1"/>
  <c r="G166" i="1"/>
  <c r="H166" i="1"/>
  <c r="L166" i="1" s="1"/>
  <c r="N166" i="1" s="1"/>
  <c r="I166" i="1"/>
  <c r="K166" i="1"/>
  <c r="M166" i="1" s="1"/>
  <c r="A167" i="1"/>
  <c r="G167" i="1"/>
  <c r="H167" i="1"/>
  <c r="L167" i="1" s="1"/>
  <c r="N167" i="1" s="1"/>
  <c r="I167" i="1"/>
  <c r="K167" i="1"/>
  <c r="M167" i="1" s="1"/>
  <c r="A168" i="1"/>
  <c r="G168" i="1"/>
  <c r="H168" i="1"/>
  <c r="W168" i="1" s="1"/>
  <c r="I168" i="1"/>
  <c r="K168" i="1"/>
  <c r="M168" i="1" s="1"/>
  <c r="A169" i="1"/>
  <c r="G169" i="1"/>
  <c r="H169" i="1"/>
  <c r="O169" i="1" s="1"/>
  <c r="I169" i="1"/>
  <c r="K169" i="1"/>
  <c r="M169" i="1" s="1"/>
  <c r="A170" i="1"/>
  <c r="G170" i="1"/>
  <c r="H170" i="1"/>
  <c r="L170" i="1" s="1"/>
  <c r="N170" i="1" s="1"/>
  <c r="I170" i="1"/>
  <c r="K170" i="1"/>
  <c r="M170" i="1" s="1"/>
  <c r="A171" i="1"/>
  <c r="G171" i="1"/>
  <c r="H171" i="1"/>
  <c r="R171" i="1" s="1"/>
  <c r="I171" i="1"/>
  <c r="K171" i="1"/>
  <c r="M171" i="1" s="1"/>
  <c r="A172" i="1"/>
  <c r="G172" i="1"/>
  <c r="H172" i="1"/>
  <c r="W172" i="1" s="1"/>
  <c r="I172" i="1"/>
  <c r="A173" i="1"/>
  <c r="G173" i="1"/>
  <c r="H173" i="1"/>
  <c r="O173" i="1" s="1"/>
  <c r="I173" i="1"/>
  <c r="K173" i="1"/>
  <c r="M173" i="1" s="1"/>
  <c r="A174" i="1"/>
  <c r="G174" i="1"/>
  <c r="H174" i="1"/>
  <c r="L174" i="1" s="1"/>
  <c r="N174" i="1" s="1"/>
  <c r="I174" i="1"/>
  <c r="K174" i="1"/>
  <c r="M174" i="1" s="1"/>
  <c r="A109" i="1"/>
  <c r="G109" i="1"/>
  <c r="H109" i="1"/>
  <c r="R109" i="1" s="1"/>
  <c r="I109" i="1"/>
  <c r="K109" i="1"/>
  <c r="M109" i="1" s="1"/>
  <c r="A110" i="1"/>
  <c r="G110" i="1"/>
  <c r="H110" i="1"/>
  <c r="Q110" i="1" s="1"/>
  <c r="I110" i="1"/>
  <c r="K110" i="1"/>
  <c r="M110" i="1" s="1"/>
  <c r="A111" i="1"/>
  <c r="G111" i="1"/>
  <c r="H111" i="1"/>
  <c r="L111" i="1" s="1"/>
  <c r="N111" i="1" s="1"/>
  <c r="I111" i="1"/>
  <c r="K111" i="1"/>
  <c r="M111" i="1" s="1"/>
  <c r="A112" i="1"/>
  <c r="G112" i="1"/>
  <c r="H112" i="1"/>
  <c r="L112" i="1" s="1"/>
  <c r="N112" i="1" s="1"/>
  <c r="I112" i="1"/>
  <c r="K112" i="1"/>
  <c r="M112" i="1" s="1"/>
  <c r="A113" i="1"/>
  <c r="G113" i="1"/>
  <c r="H113" i="1"/>
  <c r="L113" i="1" s="1"/>
  <c r="N113" i="1" s="1"/>
  <c r="I113" i="1"/>
  <c r="K113" i="1"/>
  <c r="M113" i="1" s="1"/>
  <c r="A114" i="1"/>
  <c r="G114" i="1"/>
  <c r="H114" i="1"/>
  <c r="L114" i="1" s="1"/>
  <c r="N114" i="1" s="1"/>
  <c r="I114" i="1"/>
  <c r="K114" i="1"/>
  <c r="M114" i="1" s="1"/>
  <c r="A115" i="1"/>
  <c r="G115" i="1"/>
  <c r="H115" i="1"/>
  <c r="L115" i="1" s="1"/>
  <c r="N115" i="1" s="1"/>
  <c r="I115" i="1"/>
  <c r="K115" i="1"/>
  <c r="M115" i="1" s="1"/>
  <c r="A116" i="1"/>
  <c r="G116" i="1"/>
  <c r="H116" i="1"/>
  <c r="I116" i="1"/>
  <c r="P116" i="1"/>
  <c r="A117" i="1"/>
  <c r="G117" i="1"/>
  <c r="H117" i="1"/>
  <c r="L117" i="1" s="1"/>
  <c r="N117" i="1" s="1"/>
  <c r="I117" i="1"/>
  <c r="K117" i="1"/>
  <c r="M117" i="1" s="1"/>
  <c r="A118" i="1"/>
  <c r="G118" i="1"/>
  <c r="H118" i="1"/>
  <c r="L118" i="1" s="1"/>
  <c r="N118" i="1" s="1"/>
  <c r="I118" i="1"/>
  <c r="K118" i="1"/>
  <c r="M118" i="1" s="1"/>
  <c r="B277" i="4"/>
  <c r="C277" i="4"/>
  <c r="D277" i="4"/>
  <c r="E277" i="4"/>
  <c r="F277" i="4"/>
  <c r="G277" i="4"/>
  <c r="H277" i="4"/>
  <c r="I277" i="4"/>
  <c r="J277" i="4"/>
  <c r="K277" i="4"/>
  <c r="L277" i="4"/>
  <c r="M277" i="4"/>
  <c r="N277" i="4"/>
  <c r="O277" i="4"/>
  <c r="P277" i="4"/>
  <c r="Q277" i="4"/>
  <c r="R277" i="4"/>
  <c r="S277" i="4"/>
  <c r="T277" i="4"/>
  <c r="B278" i="4"/>
  <c r="C278" i="4"/>
  <c r="D278" i="4"/>
  <c r="E278" i="4"/>
  <c r="F278" i="4"/>
  <c r="G278" i="4"/>
  <c r="H278" i="4"/>
  <c r="I278" i="4"/>
  <c r="J278" i="4"/>
  <c r="K278" i="4"/>
  <c r="L278" i="4"/>
  <c r="M278" i="4"/>
  <c r="N278" i="4"/>
  <c r="O278" i="4"/>
  <c r="P278" i="4"/>
  <c r="Q278" i="4"/>
  <c r="R278" i="4"/>
  <c r="S278" i="4"/>
  <c r="T278" i="4"/>
  <c r="B279" i="4"/>
  <c r="C279" i="4"/>
  <c r="D279" i="4"/>
  <c r="E279" i="4"/>
  <c r="F279" i="4"/>
  <c r="G279" i="4"/>
  <c r="H279" i="4"/>
  <c r="I279" i="4"/>
  <c r="J279" i="4"/>
  <c r="K279" i="4"/>
  <c r="L279" i="4"/>
  <c r="M279" i="4"/>
  <c r="N279" i="4"/>
  <c r="O279" i="4"/>
  <c r="P279" i="4"/>
  <c r="Q279" i="4"/>
  <c r="R279" i="4"/>
  <c r="S279" i="4"/>
  <c r="T279" i="4"/>
  <c r="B280" i="4"/>
  <c r="C280" i="4"/>
  <c r="D280" i="4"/>
  <c r="E280" i="4"/>
  <c r="F280" i="4"/>
  <c r="G280" i="4"/>
  <c r="H280" i="4"/>
  <c r="I280" i="4"/>
  <c r="J280" i="4"/>
  <c r="K280" i="4"/>
  <c r="L280" i="4"/>
  <c r="M280" i="4"/>
  <c r="N280" i="4"/>
  <c r="O280" i="4"/>
  <c r="P280" i="4"/>
  <c r="Q280" i="4"/>
  <c r="R280" i="4"/>
  <c r="S280" i="4"/>
  <c r="T280" i="4"/>
  <c r="B281" i="4"/>
  <c r="C281" i="4"/>
  <c r="D281" i="4"/>
  <c r="E281" i="4"/>
  <c r="F281" i="4"/>
  <c r="G281" i="4"/>
  <c r="H281" i="4"/>
  <c r="I281" i="4"/>
  <c r="J281" i="4"/>
  <c r="K281" i="4"/>
  <c r="L281" i="4"/>
  <c r="M281" i="4"/>
  <c r="N281" i="4"/>
  <c r="O281" i="4"/>
  <c r="P281" i="4"/>
  <c r="Q281" i="4"/>
  <c r="R281" i="4"/>
  <c r="S281" i="4"/>
  <c r="T281" i="4"/>
  <c r="B282" i="4"/>
  <c r="C282" i="4"/>
  <c r="D282" i="4"/>
  <c r="E282" i="4"/>
  <c r="F282" i="4"/>
  <c r="G282" i="4"/>
  <c r="H282" i="4"/>
  <c r="I282" i="4"/>
  <c r="J282" i="4"/>
  <c r="K282" i="4"/>
  <c r="L282" i="4"/>
  <c r="M282" i="4"/>
  <c r="N282" i="4"/>
  <c r="O282" i="4"/>
  <c r="P282" i="4"/>
  <c r="Q282" i="4"/>
  <c r="R282" i="4"/>
  <c r="S282" i="4"/>
  <c r="T282" i="4"/>
  <c r="B283" i="4"/>
  <c r="C283" i="4"/>
  <c r="D283" i="4"/>
  <c r="E283" i="4"/>
  <c r="F283" i="4"/>
  <c r="G283" i="4"/>
  <c r="H283" i="4"/>
  <c r="I283" i="4"/>
  <c r="J283" i="4"/>
  <c r="K283" i="4"/>
  <c r="L283" i="4"/>
  <c r="M283" i="4"/>
  <c r="N283" i="4"/>
  <c r="O283" i="4"/>
  <c r="P283" i="4"/>
  <c r="Q283" i="4"/>
  <c r="R283" i="4"/>
  <c r="S283" i="4"/>
  <c r="T283" i="4"/>
  <c r="B284" i="4"/>
  <c r="C284" i="4"/>
  <c r="D284" i="4"/>
  <c r="K284" i="1" s="1"/>
  <c r="M284" i="1" s="1"/>
  <c r="E284" i="4"/>
  <c r="F284" i="4"/>
  <c r="G284" i="4"/>
  <c r="H284" i="4"/>
  <c r="I284" i="4"/>
  <c r="J284" i="4"/>
  <c r="K284" i="4"/>
  <c r="L284" i="4"/>
  <c r="M284" i="4"/>
  <c r="N284" i="4"/>
  <c r="O284" i="4"/>
  <c r="P284" i="4"/>
  <c r="Q284" i="4"/>
  <c r="R284" i="4"/>
  <c r="S284" i="4"/>
  <c r="T284" i="4"/>
  <c r="B285" i="4"/>
  <c r="C285" i="4"/>
  <c r="D285" i="4"/>
  <c r="E285" i="4"/>
  <c r="F285" i="4"/>
  <c r="G285" i="4"/>
  <c r="H285" i="4"/>
  <c r="I285" i="4"/>
  <c r="J285" i="4"/>
  <c r="K285" i="4"/>
  <c r="L285" i="4"/>
  <c r="M285" i="4"/>
  <c r="N285" i="4"/>
  <c r="O285" i="4"/>
  <c r="P285" i="4"/>
  <c r="Q285" i="4"/>
  <c r="R285" i="4"/>
  <c r="S285" i="4"/>
  <c r="T285" i="4"/>
  <c r="B286" i="4"/>
  <c r="C286" i="4"/>
  <c r="D286" i="4"/>
  <c r="E286" i="4"/>
  <c r="F286" i="4"/>
  <c r="G286" i="4"/>
  <c r="H286" i="4"/>
  <c r="I286" i="4"/>
  <c r="J286" i="4"/>
  <c r="K286" i="4"/>
  <c r="L286" i="4"/>
  <c r="M286" i="4"/>
  <c r="N286" i="4"/>
  <c r="O286" i="4"/>
  <c r="P286" i="4"/>
  <c r="Q286" i="4"/>
  <c r="R286" i="4"/>
  <c r="S286" i="4"/>
  <c r="T286" i="4"/>
  <c r="B221" i="4"/>
  <c r="D221" i="4"/>
  <c r="E221" i="4"/>
  <c r="F221" i="4"/>
  <c r="H221" i="4"/>
  <c r="I221" i="4"/>
  <c r="J221" i="4"/>
  <c r="K221" i="4"/>
  <c r="L221" i="4"/>
  <c r="M221" i="4"/>
  <c r="N221" i="4"/>
  <c r="O221" i="4"/>
  <c r="P221" i="4"/>
  <c r="Q221" i="4"/>
  <c r="R221" i="4"/>
  <c r="S221" i="4"/>
  <c r="T221" i="4"/>
  <c r="B222" i="4"/>
  <c r="D222" i="4"/>
  <c r="E222" i="4"/>
  <c r="F222" i="4"/>
  <c r="H222" i="4"/>
  <c r="I222" i="4"/>
  <c r="J222" i="4"/>
  <c r="K222" i="4"/>
  <c r="L222" i="4"/>
  <c r="M222" i="4"/>
  <c r="N222" i="4"/>
  <c r="O222" i="4"/>
  <c r="P222" i="4"/>
  <c r="Q222" i="4"/>
  <c r="R222" i="4"/>
  <c r="S222" i="4"/>
  <c r="T222" i="4"/>
  <c r="B223" i="4"/>
  <c r="D223" i="4"/>
  <c r="E223" i="4"/>
  <c r="F223" i="4"/>
  <c r="H223" i="4"/>
  <c r="I223" i="4"/>
  <c r="J223" i="4"/>
  <c r="K223" i="4"/>
  <c r="L223" i="4"/>
  <c r="M223" i="4"/>
  <c r="N223" i="4"/>
  <c r="O223" i="4"/>
  <c r="P223" i="4"/>
  <c r="Q223" i="4"/>
  <c r="R223" i="4"/>
  <c r="S223" i="4"/>
  <c r="T223" i="4"/>
  <c r="B224" i="4"/>
  <c r="D224" i="4"/>
  <c r="E224" i="4"/>
  <c r="F224" i="4"/>
  <c r="H224" i="4"/>
  <c r="I224" i="4"/>
  <c r="J224" i="4"/>
  <c r="K224" i="4"/>
  <c r="L224" i="4"/>
  <c r="M224" i="4"/>
  <c r="N224" i="4"/>
  <c r="O224" i="4"/>
  <c r="P224" i="4"/>
  <c r="Q224" i="4"/>
  <c r="R224" i="4"/>
  <c r="S224" i="4"/>
  <c r="T224" i="4"/>
  <c r="B225" i="4"/>
  <c r="D225" i="4"/>
  <c r="E225" i="4"/>
  <c r="F225" i="4"/>
  <c r="H225" i="4"/>
  <c r="I225" i="4"/>
  <c r="J225" i="4"/>
  <c r="K225" i="4"/>
  <c r="L225" i="4"/>
  <c r="M225" i="4"/>
  <c r="N225" i="4"/>
  <c r="O225" i="4"/>
  <c r="P225" i="4"/>
  <c r="Q225" i="4"/>
  <c r="R225" i="4"/>
  <c r="S225" i="4"/>
  <c r="T225" i="4"/>
  <c r="B226" i="4"/>
  <c r="D226" i="4"/>
  <c r="E226" i="4"/>
  <c r="F226" i="4"/>
  <c r="H226" i="4"/>
  <c r="I226" i="4"/>
  <c r="J226" i="4"/>
  <c r="K226" i="4"/>
  <c r="L226" i="4"/>
  <c r="M226" i="4"/>
  <c r="N226" i="4"/>
  <c r="O226" i="4"/>
  <c r="P226" i="4"/>
  <c r="Q226" i="4"/>
  <c r="R226" i="4"/>
  <c r="S226" i="4"/>
  <c r="T226" i="4"/>
  <c r="B227" i="4"/>
  <c r="D227" i="4"/>
  <c r="E227" i="4"/>
  <c r="F227" i="4"/>
  <c r="H227" i="4"/>
  <c r="I227" i="4"/>
  <c r="J227" i="4"/>
  <c r="K227" i="4"/>
  <c r="L227" i="4"/>
  <c r="M227" i="4"/>
  <c r="N227" i="4"/>
  <c r="O227" i="4"/>
  <c r="P227" i="4"/>
  <c r="Q227" i="4"/>
  <c r="R227" i="4"/>
  <c r="S227" i="4"/>
  <c r="T227" i="4"/>
  <c r="B228" i="4"/>
  <c r="D228" i="4"/>
  <c r="K228" i="1" s="1"/>
  <c r="M228" i="1" s="1"/>
  <c r="E228" i="4"/>
  <c r="F228" i="4"/>
  <c r="H228" i="4"/>
  <c r="I228" i="4"/>
  <c r="J228" i="4"/>
  <c r="K228" i="4"/>
  <c r="L228" i="4"/>
  <c r="M228" i="4"/>
  <c r="N228" i="4"/>
  <c r="O228" i="4"/>
  <c r="P228" i="4"/>
  <c r="Q228" i="4"/>
  <c r="R228" i="4"/>
  <c r="S228" i="4"/>
  <c r="T228" i="4"/>
  <c r="B229" i="4"/>
  <c r="D229" i="4"/>
  <c r="E229" i="4"/>
  <c r="F229" i="4"/>
  <c r="H229" i="4"/>
  <c r="I229" i="4"/>
  <c r="J229" i="4"/>
  <c r="K229" i="4"/>
  <c r="L229" i="4"/>
  <c r="M229" i="4"/>
  <c r="N229" i="4"/>
  <c r="O229" i="4"/>
  <c r="P229" i="4"/>
  <c r="Q229" i="4"/>
  <c r="R229" i="4"/>
  <c r="S229" i="4"/>
  <c r="T229" i="4"/>
  <c r="B230" i="4"/>
  <c r="D230" i="4"/>
  <c r="E230" i="4"/>
  <c r="F230" i="4"/>
  <c r="H230" i="4"/>
  <c r="I230" i="4"/>
  <c r="J230" i="4"/>
  <c r="K230" i="4"/>
  <c r="L230" i="4"/>
  <c r="M230" i="4"/>
  <c r="N230" i="4"/>
  <c r="O230" i="4"/>
  <c r="P230" i="4"/>
  <c r="Q230" i="4"/>
  <c r="R230" i="4"/>
  <c r="S230" i="4"/>
  <c r="T23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4" i="4"/>
  <c r="N165" i="4"/>
  <c r="U165" i="1" s="1"/>
  <c r="N166" i="4"/>
  <c r="U166" i="1" s="1"/>
  <c r="N167" i="4"/>
  <c r="N168" i="4"/>
  <c r="N169" i="4"/>
  <c r="U169" i="1" s="1"/>
  <c r="N170" i="4"/>
  <c r="N171" i="4"/>
  <c r="N172" i="4"/>
  <c r="N173" i="4"/>
  <c r="N174" i="4"/>
  <c r="B165" i="4"/>
  <c r="C165" i="4"/>
  <c r="D165" i="4"/>
  <c r="E165" i="4"/>
  <c r="F165" i="4"/>
  <c r="G165" i="4"/>
  <c r="H165" i="4"/>
  <c r="I165" i="4"/>
  <c r="J165" i="4"/>
  <c r="K165" i="4"/>
  <c r="L165" i="4"/>
  <c r="M165" i="4"/>
  <c r="O165" i="4"/>
  <c r="P165" i="4"/>
  <c r="Q165" i="4"/>
  <c r="R165" i="4"/>
  <c r="S165" i="4"/>
  <c r="T165" i="4"/>
  <c r="B166" i="4"/>
  <c r="C166" i="4"/>
  <c r="D166" i="4"/>
  <c r="E166" i="4"/>
  <c r="F166" i="4"/>
  <c r="G166" i="4"/>
  <c r="H166" i="4"/>
  <c r="I166" i="4"/>
  <c r="J166" i="4"/>
  <c r="K166" i="4"/>
  <c r="L166" i="4"/>
  <c r="M166" i="4"/>
  <c r="O166" i="4"/>
  <c r="P166" i="4"/>
  <c r="Q166" i="4"/>
  <c r="R166" i="4"/>
  <c r="S166" i="4"/>
  <c r="T166" i="4"/>
  <c r="B167" i="4"/>
  <c r="C167" i="4"/>
  <c r="D167" i="4"/>
  <c r="E167" i="4"/>
  <c r="F167" i="4"/>
  <c r="G167" i="4"/>
  <c r="H167" i="4"/>
  <c r="I167" i="4"/>
  <c r="J167" i="4"/>
  <c r="K167" i="4"/>
  <c r="L167" i="4"/>
  <c r="M167" i="4"/>
  <c r="O167" i="4"/>
  <c r="P167" i="4"/>
  <c r="Q167" i="4"/>
  <c r="R167" i="4"/>
  <c r="S167" i="4"/>
  <c r="T167" i="4"/>
  <c r="B168" i="4"/>
  <c r="C168" i="4"/>
  <c r="D168" i="4"/>
  <c r="E168" i="4"/>
  <c r="F168" i="4"/>
  <c r="G168" i="4"/>
  <c r="H168" i="4"/>
  <c r="I168" i="4"/>
  <c r="J168" i="4"/>
  <c r="K168" i="4"/>
  <c r="L168" i="4"/>
  <c r="M168" i="4"/>
  <c r="O168" i="4"/>
  <c r="P168" i="4"/>
  <c r="Q168" i="4"/>
  <c r="R168" i="4"/>
  <c r="S168" i="4"/>
  <c r="T168" i="4"/>
  <c r="B169" i="4"/>
  <c r="C169" i="4"/>
  <c r="D169" i="4"/>
  <c r="E169" i="4"/>
  <c r="F169" i="4"/>
  <c r="G169" i="4"/>
  <c r="H169" i="4"/>
  <c r="I169" i="4"/>
  <c r="J169" i="4"/>
  <c r="K169" i="4"/>
  <c r="L169" i="4"/>
  <c r="M169" i="4"/>
  <c r="O169" i="4"/>
  <c r="P169" i="4"/>
  <c r="Q169" i="4"/>
  <c r="R169" i="4"/>
  <c r="S169" i="4"/>
  <c r="T169" i="4"/>
  <c r="B170" i="4"/>
  <c r="C170" i="4"/>
  <c r="D170" i="4"/>
  <c r="E170" i="4"/>
  <c r="F170" i="4"/>
  <c r="G170" i="4"/>
  <c r="H170" i="4"/>
  <c r="I170" i="4"/>
  <c r="J170" i="4"/>
  <c r="K170" i="4"/>
  <c r="L170" i="4"/>
  <c r="M170" i="4"/>
  <c r="O170" i="4"/>
  <c r="P170" i="4"/>
  <c r="Q170" i="4"/>
  <c r="R170" i="4"/>
  <c r="S170" i="4"/>
  <c r="T170" i="4"/>
  <c r="B171" i="4"/>
  <c r="C171" i="4"/>
  <c r="D171" i="4"/>
  <c r="E171" i="4"/>
  <c r="F171" i="4"/>
  <c r="G171" i="4"/>
  <c r="H171" i="4"/>
  <c r="I171" i="4"/>
  <c r="J171" i="4"/>
  <c r="K171" i="4"/>
  <c r="L171" i="4"/>
  <c r="M171" i="4"/>
  <c r="O171" i="4"/>
  <c r="P171" i="4"/>
  <c r="Q171" i="4"/>
  <c r="R171" i="4"/>
  <c r="S171" i="4"/>
  <c r="T171" i="4"/>
  <c r="B172" i="4"/>
  <c r="C172" i="4"/>
  <c r="D172" i="4"/>
  <c r="K172" i="1" s="1"/>
  <c r="M172" i="1" s="1"/>
  <c r="E172" i="4"/>
  <c r="F172" i="4"/>
  <c r="G172" i="4"/>
  <c r="H172" i="4"/>
  <c r="I172" i="4"/>
  <c r="J172" i="4"/>
  <c r="K172" i="4"/>
  <c r="L172" i="4"/>
  <c r="M172" i="4"/>
  <c r="O172" i="4"/>
  <c r="P172" i="4"/>
  <c r="Q172" i="4"/>
  <c r="R172" i="4"/>
  <c r="S172" i="4"/>
  <c r="T172" i="4"/>
  <c r="B173" i="4"/>
  <c r="C173" i="4"/>
  <c r="D173" i="4"/>
  <c r="E173" i="4"/>
  <c r="F173" i="4"/>
  <c r="G173" i="4"/>
  <c r="H173" i="4"/>
  <c r="I173" i="4"/>
  <c r="J173" i="4"/>
  <c r="K173" i="4"/>
  <c r="L173" i="4"/>
  <c r="M173" i="4"/>
  <c r="O173" i="4"/>
  <c r="P173" i="4"/>
  <c r="Q173" i="4"/>
  <c r="R173" i="4"/>
  <c r="S173" i="4"/>
  <c r="T173" i="4"/>
  <c r="B174" i="4"/>
  <c r="C174" i="4"/>
  <c r="D174" i="4"/>
  <c r="E174" i="4"/>
  <c r="F174" i="4"/>
  <c r="G174" i="4"/>
  <c r="H174" i="4"/>
  <c r="I174" i="4"/>
  <c r="J174" i="4"/>
  <c r="K174" i="4"/>
  <c r="L174" i="4"/>
  <c r="M174" i="4"/>
  <c r="O174" i="4"/>
  <c r="P174" i="4"/>
  <c r="Q174" i="4"/>
  <c r="R174" i="4"/>
  <c r="S174" i="4"/>
  <c r="T174" i="4"/>
  <c r="N116" i="4"/>
  <c r="T118" i="4"/>
  <c r="S118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D118" i="4"/>
  <c r="C118" i="4"/>
  <c r="C230" i="4" s="1"/>
  <c r="B118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E117" i="4"/>
  <c r="D117" i="4"/>
  <c r="C117" i="4"/>
  <c r="C229" i="4" s="1"/>
  <c r="B117" i="4"/>
  <c r="T116" i="4"/>
  <c r="S116" i="4"/>
  <c r="R116" i="4"/>
  <c r="Q116" i="4"/>
  <c r="P116" i="4"/>
  <c r="O116" i="4"/>
  <c r="M116" i="4"/>
  <c r="L116" i="4"/>
  <c r="K116" i="4"/>
  <c r="J116" i="4"/>
  <c r="I116" i="4"/>
  <c r="H116" i="4"/>
  <c r="G116" i="4"/>
  <c r="F116" i="4"/>
  <c r="E116" i="4"/>
  <c r="D116" i="4"/>
  <c r="C116" i="4"/>
  <c r="C228" i="4" s="1"/>
  <c r="B116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E115" i="4"/>
  <c r="D115" i="4"/>
  <c r="C115" i="4"/>
  <c r="C227" i="4" s="1"/>
  <c r="B115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E114" i="4"/>
  <c r="D114" i="4"/>
  <c r="C114" i="4"/>
  <c r="C226" i="4" s="1"/>
  <c r="B114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E113" i="4"/>
  <c r="D113" i="4"/>
  <c r="C113" i="4"/>
  <c r="C225" i="4" s="1"/>
  <c r="B113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E112" i="4"/>
  <c r="D112" i="4"/>
  <c r="C112" i="4"/>
  <c r="C224" i="4" s="1"/>
  <c r="B112" i="4"/>
  <c r="T111" i="4"/>
  <c r="S111" i="4"/>
  <c r="R111" i="4"/>
  <c r="Q111" i="4"/>
  <c r="P111" i="4"/>
  <c r="O111" i="4"/>
  <c r="N111" i="4"/>
  <c r="U111" i="1" s="1"/>
  <c r="M111" i="4"/>
  <c r="L111" i="4"/>
  <c r="K111" i="4"/>
  <c r="J111" i="4"/>
  <c r="I111" i="4"/>
  <c r="H111" i="4"/>
  <c r="G111" i="4"/>
  <c r="F111" i="4"/>
  <c r="E111" i="4"/>
  <c r="D111" i="4"/>
  <c r="C111" i="4"/>
  <c r="C223" i="4" s="1"/>
  <c r="B111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E110" i="4"/>
  <c r="D110" i="4"/>
  <c r="C110" i="4"/>
  <c r="C222" i="4" s="1"/>
  <c r="B110" i="4"/>
  <c r="T109" i="4"/>
  <c r="S109" i="4"/>
  <c r="R109" i="4"/>
  <c r="Q109" i="4"/>
  <c r="P109" i="4"/>
  <c r="O109" i="4"/>
  <c r="N109" i="4"/>
  <c r="U109" i="1" s="1"/>
  <c r="M109" i="4"/>
  <c r="L109" i="4"/>
  <c r="K109" i="4"/>
  <c r="J109" i="4"/>
  <c r="I109" i="4"/>
  <c r="H109" i="4"/>
  <c r="G109" i="4"/>
  <c r="F109" i="4"/>
  <c r="E109" i="4"/>
  <c r="D109" i="4"/>
  <c r="C109" i="4"/>
  <c r="C221" i="4" s="1"/>
  <c r="B109" i="4"/>
  <c r="A62" i="1"/>
  <c r="K62" i="1"/>
  <c r="M62" i="1" s="1"/>
  <c r="L62" i="1"/>
  <c r="N62" i="1" s="1"/>
  <c r="O62" i="1"/>
  <c r="P62" i="1"/>
  <c r="Q62" i="1"/>
  <c r="R62" i="1"/>
  <c r="S62" i="1"/>
  <c r="T62" i="1"/>
  <c r="U62" i="1"/>
  <c r="W62" i="1"/>
  <c r="X62" i="1"/>
  <c r="Y62" i="1"/>
  <c r="Z62" i="1"/>
  <c r="AA62" i="1"/>
  <c r="A53" i="1"/>
  <c r="K53" i="1"/>
  <c r="M53" i="1" s="1"/>
  <c r="L53" i="1"/>
  <c r="N53" i="1" s="1"/>
  <c r="O53" i="1"/>
  <c r="P53" i="1"/>
  <c r="Q53" i="1"/>
  <c r="R53" i="1"/>
  <c r="S53" i="1"/>
  <c r="T53" i="1"/>
  <c r="U53" i="1"/>
  <c r="W53" i="1"/>
  <c r="X53" i="1"/>
  <c r="Y53" i="1"/>
  <c r="Z53" i="1"/>
  <c r="AA53" i="1"/>
  <c r="A54" i="1"/>
  <c r="K54" i="1"/>
  <c r="M54" i="1" s="1"/>
  <c r="L54" i="1"/>
  <c r="N54" i="1" s="1"/>
  <c r="O54" i="1"/>
  <c r="P54" i="1"/>
  <c r="Q54" i="1"/>
  <c r="R54" i="1"/>
  <c r="S54" i="1"/>
  <c r="T54" i="1"/>
  <c r="U54" i="1"/>
  <c r="W54" i="1"/>
  <c r="X54" i="1"/>
  <c r="Y54" i="1"/>
  <c r="Z54" i="1"/>
  <c r="AA54" i="1"/>
  <c r="A55" i="1"/>
  <c r="K55" i="1"/>
  <c r="M55" i="1" s="1"/>
  <c r="L55" i="1"/>
  <c r="N55" i="1" s="1"/>
  <c r="O55" i="1"/>
  <c r="P55" i="1"/>
  <c r="Q55" i="1"/>
  <c r="R55" i="1"/>
  <c r="S55" i="1"/>
  <c r="T55" i="1"/>
  <c r="U55" i="1"/>
  <c r="W55" i="1"/>
  <c r="X55" i="1"/>
  <c r="Y55" i="1"/>
  <c r="Z55" i="1"/>
  <c r="AA55" i="1"/>
  <c r="A56" i="1"/>
  <c r="K56" i="1"/>
  <c r="M56" i="1" s="1"/>
  <c r="L56" i="1"/>
  <c r="N56" i="1" s="1"/>
  <c r="O56" i="1"/>
  <c r="P56" i="1"/>
  <c r="Q56" i="1"/>
  <c r="R56" i="1"/>
  <c r="S56" i="1"/>
  <c r="T56" i="1"/>
  <c r="U56" i="1"/>
  <c r="W56" i="1"/>
  <c r="X56" i="1"/>
  <c r="Y56" i="1"/>
  <c r="Z56" i="1"/>
  <c r="AA56" i="1"/>
  <c r="A57" i="1"/>
  <c r="K57" i="1"/>
  <c r="M57" i="1" s="1"/>
  <c r="L57" i="1"/>
  <c r="N57" i="1" s="1"/>
  <c r="O57" i="1"/>
  <c r="P57" i="1"/>
  <c r="Q57" i="1"/>
  <c r="R57" i="1"/>
  <c r="S57" i="1"/>
  <c r="T57" i="1"/>
  <c r="U57" i="1"/>
  <c r="W57" i="1"/>
  <c r="X57" i="1"/>
  <c r="Y57" i="1"/>
  <c r="Z57" i="1"/>
  <c r="AA57" i="1"/>
  <c r="A58" i="1"/>
  <c r="K58" i="1"/>
  <c r="M58" i="1" s="1"/>
  <c r="L58" i="1"/>
  <c r="N58" i="1" s="1"/>
  <c r="O58" i="1"/>
  <c r="P58" i="1"/>
  <c r="Q58" i="1"/>
  <c r="R58" i="1"/>
  <c r="S58" i="1"/>
  <c r="T58" i="1"/>
  <c r="U58" i="1"/>
  <c r="W58" i="1"/>
  <c r="X58" i="1"/>
  <c r="Y58" i="1"/>
  <c r="Z58" i="1"/>
  <c r="AA58" i="1"/>
  <c r="A59" i="1"/>
  <c r="K59" i="1"/>
  <c r="M59" i="1" s="1"/>
  <c r="L59" i="1"/>
  <c r="N59" i="1" s="1"/>
  <c r="O59" i="1"/>
  <c r="P59" i="1"/>
  <c r="Q59" i="1"/>
  <c r="R59" i="1"/>
  <c r="S59" i="1"/>
  <c r="T59" i="1"/>
  <c r="U59" i="1"/>
  <c r="W59" i="1"/>
  <c r="X59" i="1"/>
  <c r="Y59" i="1"/>
  <c r="Z59" i="1"/>
  <c r="AA59" i="1"/>
  <c r="A60" i="1"/>
  <c r="K60" i="1"/>
  <c r="M60" i="1" s="1"/>
  <c r="L60" i="1"/>
  <c r="N60" i="1" s="1"/>
  <c r="O60" i="1"/>
  <c r="P60" i="1"/>
  <c r="Q60" i="1"/>
  <c r="R60" i="1"/>
  <c r="S60" i="1"/>
  <c r="T60" i="1"/>
  <c r="U60" i="1"/>
  <c r="W60" i="1"/>
  <c r="X60" i="1"/>
  <c r="Y60" i="1"/>
  <c r="Z60" i="1"/>
  <c r="AA60" i="1"/>
  <c r="A61" i="1"/>
  <c r="K61" i="1"/>
  <c r="M61" i="1" s="1"/>
  <c r="L61" i="1"/>
  <c r="N61" i="1" s="1"/>
  <c r="O61" i="1"/>
  <c r="P61" i="1"/>
  <c r="Q61" i="1"/>
  <c r="R61" i="1"/>
  <c r="S61" i="1"/>
  <c r="T61" i="1"/>
  <c r="U61" i="1"/>
  <c r="W61" i="1"/>
  <c r="X61" i="1"/>
  <c r="Y61" i="1"/>
  <c r="Z61" i="1"/>
  <c r="AA61" i="1"/>
  <c r="N333" i="1"/>
  <c r="M333" i="1"/>
  <c r="A333" i="1"/>
  <c r="Z165" i="1" l="1"/>
  <c r="T165" i="1"/>
  <c r="X165" i="1"/>
  <c r="Q165" i="1"/>
  <c r="T224" i="1"/>
  <c r="U278" i="1"/>
  <c r="L116" i="1"/>
  <c r="N116" i="1" s="1"/>
  <c r="L228" i="1"/>
  <c r="N228" i="1" s="1"/>
  <c r="W112" i="1"/>
  <c r="T109" i="1"/>
  <c r="W174" i="1"/>
  <c r="AA112" i="1"/>
  <c r="Q112" i="1"/>
  <c r="W111" i="1"/>
  <c r="W170" i="1"/>
  <c r="X167" i="1"/>
  <c r="X166" i="1"/>
  <c r="T226" i="1"/>
  <c r="Z280" i="1"/>
  <c r="U173" i="1"/>
  <c r="Y116" i="1"/>
  <c r="T115" i="1"/>
  <c r="W114" i="1"/>
  <c r="Y112" i="1"/>
  <c r="S112" i="1"/>
  <c r="O112" i="1"/>
  <c r="AA111" i="1"/>
  <c r="Q111" i="1"/>
  <c r="Y110" i="1"/>
  <c r="Z109" i="1"/>
  <c r="P109" i="1"/>
  <c r="AA174" i="1"/>
  <c r="R174" i="1"/>
  <c r="W173" i="1"/>
  <c r="AA170" i="1"/>
  <c r="R170" i="1"/>
  <c r="W169" i="1"/>
  <c r="R166" i="1"/>
  <c r="Y228" i="1"/>
  <c r="T228" i="1"/>
  <c r="P228" i="1"/>
  <c r="T227" i="1"/>
  <c r="Y226" i="1"/>
  <c r="P226" i="1"/>
  <c r="T225" i="1"/>
  <c r="Y224" i="1"/>
  <c r="P224" i="1"/>
  <c r="W223" i="1"/>
  <c r="S222" i="1"/>
  <c r="S221" i="1"/>
  <c r="U282" i="1"/>
  <c r="U280" i="1"/>
  <c r="U279" i="1"/>
  <c r="U113" i="1"/>
  <c r="Y170" i="1"/>
  <c r="T170" i="1"/>
  <c r="P170" i="1"/>
  <c r="AA169" i="1"/>
  <c r="Q169" i="1"/>
  <c r="Q167" i="1"/>
  <c r="Z166" i="1"/>
  <c r="T166" i="1"/>
  <c r="P166" i="1"/>
  <c r="AA165" i="1"/>
  <c r="Y165" i="1"/>
  <c r="W165" i="1"/>
  <c r="S165" i="1"/>
  <c r="Z228" i="1"/>
  <c r="X228" i="1"/>
  <c r="U228" i="1"/>
  <c r="S228" i="1"/>
  <c r="Q228" i="1"/>
  <c r="O228" i="1"/>
  <c r="Y227" i="1"/>
  <c r="AA226" i="1"/>
  <c r="W226" i="1"/>
  <c r="R226" i="1"/>
  <c r="Y225" i="1"/>
  <c r="P225" i="1"/>
  <c r="AA224" i="1"/>
  <c r="W224" i="1"/>
  <c r="R224" i="1"/>
  <c r="AA223" i="1"/>
  <c r="R223" i="1"/>
  <c r="X222" i="1"/>
  <c r="O222" i="1"/>
  <c r="X221" i="1"/>
  <c r="O221" i="1"/>
  <c r="Z282" i="1"/>
  <c r="Q282" i="1"/>
  <c r="U281" i="1"/>
  <c r="Q280" i="1"/>
  <c r="X118" i="1"/>
  <c r="T116" i="1"/>
  <c r="Z115" i="1"/>
  <c r="P115" i="1"/>
  <c r="AA114" i="1"/>
  <c r="Q114" i="1"/>
  <c r="W113" i="1"/>
  <c r="Y174" i="1"/>
  <c r="T174" i="1"/>
  <c r="P174" i="1"/>
  <c r="AA173" i="1"/>
  <c r="Q173" i="1"/>
  <c r="Y223" i="1"/>
  <c r="T223" i="1"/>
  <c r="P223" i="1"/>
  <c r="Z222" i="1"/>
  <c r="U222" i="1"/>
  <c r="Q222" i="1"/>
  <c r="Z221" i="1"/>
  <c r="U221" i="1"/>
  <c r="Q221" i="1"/>
  <c r="W286" i="1"/>
  <c r="S285" i="1"/>
  <c r="S284" i="1"/>
  <c r="S283" i="1"/>
  <c r="Y114" i="1"/>
  <c r="S114" i="1"/>
  <c r="O114" i="1"/>
  <c r="AA113" i="1"/>
  <c r="Q113" i="1"/>
  <c r="S110" i="1"/>
  <c r="X280" i="1"/>
  <c r="S280" i="1"/>
  <c r="O280" i="1"/>
  <c r="Z279" i="1"/>
  <c r="Q279" i="1"/>
  <c r="Z278" i="1"/>
  <c r="Q278" i="1"/>
  <c r="U277" i="1"/>
  <c r="Z224" i="1"/>
  <c r="X224" i="1"/>
  <c r="U224" i="1"/>
  <c r="S224" i="1"/>
  <c r="Q224" i="1"/>
  <c r="O224" i="1"/>
  <c r="U115" i="1"/>
  <c r="U118" i="1"/>
  <c r="Q118" i="1"/>
  <c r="Z117" i="1"/>
  <c r="X115" i="1"/>
  <c r="R115" i="1"/>
  <c r="Y113" i="1"/>
  <c r="S113" i="1"/>
  <c r="O113" i="1"/>
  <c r="Y111" i="1"/>
  <c r="S111" i="1"/>
  <c r="O111" i="1"/>
  <c r="X109" i="1"/>
  <c r="Y173" i="1"/>
  <c r="S173" i="1"/>
  <c r="X171" i="1"/>
  <c r="Z226" i="1"/>
  <c r="X226" i="1"/>
  <c r="U226" i="1"/>
  <c r="S226" i="1"/>
  <c r="Q226" i="1"/>
  <c r="O226" i="1"/>
  <c r="AA225" i="1"/>
  <c r="W225" i="1"/>
  <c r="R225" i="1"/>
  <c r="X282" i="1"/>
  <c r="S282" i="1"/>
  <c r="O282" i="1"/>
  <c r="Z281" i="1"/>
  <c r="Q281" i="1"/>
  <c r="X278" i="1"/>
  <c r="S278" i="1"/>
  <c r="O278" i="1"/>
  <c r="Z277" i="1"/>
  <c r="Q277" i="1"/>
  <c r="U117" i="1"/>
  <c r="Q117" i="1"/>
  <c r="AA116" i="1"/>
  <c r="W116" i="1"/>
  <c r="R116" i="1"/>
  <c r="AA115" i="1"/>
  <c r="Y115" i="1"/>
  <c r="W115" i="1"/>
  <c r="S115" i="1"/>
  <c r="Q115" i="1"/>
  <c r="O115" i="1"/>
  <c r="Z113" i="1"/>
  <c r="X113" i="1"/>
  <c r="T113" i="1"/>
  <c r="R113" i="1"/>
  <c r="P113" i="1"/>
  <c r="Z111" i="1"/>
  <c r="X111" i="1"/>
  <c r="T111" i="1"/>
  <c r="R111" i="1"/>
  <c r="P111" i="1"/>
  <c r="AA110" i="1"/>
  <c r="W110" i="1"/>
  <c r="L109" i="1"/>
  <c r="N109" i="1" s="1"/>
  <c r="O109" i="1"/>
  <c r="Q109" i="1"/>
  <c r="S109" i="1"/>
  <c r="W109" i="1"/>
  <c r="Y109" i="1"/>
  <c r="AA109" i="1"/>
  <c r="L173" i="1"/>
  <c r="N173" i="1" s="1"/>
  <c r="P173" i="1"/>
  <c r="R173" i="1"/>
  <c r="T173" i="1"/>
  <c r="X173" i="1"/>
  <c r="Z173" i="1"/>
  <c r="L172" i="1"/>
  <c r="N172" i="1" s="1"/>
  <c r="R172" i="1"/>
  <c r="AA172" i="1"/>
  <c r="Y169" i="1"/>
  <c r="S169" i="1"/>
  <c r="L230" i="1"/>
  <c r="N230" i="1" s="1"/>
  <c r="O230" i="1"/>
  <c r="S230" i="1"/>
  <c r="X230" i="1"/>
  <c r="L227" i="1"/>
  <c r="N227" i="1" s="1"/>
  <c r="O227" i="1"/>
  <c r="Q227" i="1"/>
  <c r="S227" i="1"/>
  <c r="U227" i="1"/>
  <c r="X227" i="1"/>
  <c r="Z227" i="1"/>
  <c r="L110" i="1"/>
  <c r="N110" i="1" s="1"/>
  <c r="O110" i="1"/>
  <c r="L171" i="1"/>
  <c r="N171" i="1" s="1"/>
  <c r="P171" i="1"/>
  <c r="T171" i="1"/>
  <c r="Z171" i="1"/>
  <c r="L169" i="1"/>
  <c r="N169" i="1" s="1"/>
  <c r="P169" i="1"/>
  <c r="R169" i="1"/>
  <c r="T169" i="1"/>
  <c r="X169" i="1"/>
  <c r="Z169" i="1"/>
  <c r="L168" i="1"/>
  <c r="N168" i="1" s="1"/>
  <c r="R168" i="1"/>
  <c r="AA168" i="1"/>
  <c r="Z230" i="1"/>
  <c r="Q230" i="1"/>
  <c r="Q229" i="1"/>
  <c r="U229" i="1"/>
  <c r="AA227" i="1"/>
  <c r="W227" i="1"/>
  <c r="R227" i="1"/>
  <c r="Z225" i="1"/>
  <c r="X225" i="1"/>
  <c r="U225" i="1"/>
  <c r="S225" i="1"/>
  <c r="Q225" i="1"/>
  <c r="O225" i="1"/>
  <c r="Z223" i="1"/>
  <c r="X223" i="1"/>
  <c r="U223" i="1"/>
  <c r="S223" i="1"/>
  <c r="Q223" i="1"/>
  <c r="O223" i="1"/>
  <c r="AA222" i="1"/>
  <c r="Y222" i="1"/>
  <c r="W222" i="1"/>
  <c r="T222" i="1"/>
  <c r="R222" i="1"/>
  <c r="P222" i="1"/>
  <c r="AA221" i="1"/>
  <c r="Y221" i="1"/>
  <c r="W221" i="1"/>
  <c r="T221" i="1"/>
  <c r="R221" i="1"/>
  <c r="P221" i="1"/>
  <c r="AA286" i="1"/>
  <c r="R286" i="1"/>
  <c r="X285" i="1"/>
  <c r="O285" i="1"/>
  <c r="X284" i="1"/>
  <c r="O284" i="1"/>
  <c r="X283" i="1"/>
  <c r="O283" i="1"/>
  <c r="X281" i="1"/>
  <c r="S281" i="1"/>
  <c r="O281" i="1"/>
  <c r="X279" i="1"/>
  <c r="S279" i="1"/>
  <c r="O279" i="1"/>
  <c r="X277" i="1"/>
  <c r="S277" i="1"/>
  <c r="O277" i="1"/>
  <c r="U110" i="1"/>
  <c r="U112" i="1"/>
  <c r="U114" i="1"/>
  <c r="U171" i="1"/>
  <c r="U167" i="1"/>
  <c r="Z118" i="1"/>
  <c r="S118" i="1"/>
  <c r="O118" i="1"/>
  <c r="Z116" i="1"/>
  <c r="X116" i="1"/>
  <c r="U116" i="1"/>
  <c r="S116" i="1"/>
  <c r="Q116" i="1"/>
  <c r="O116" i="1"/>
  <c r="Z114" i="1"/>
  <c r="X114" i="1"/>
  <c r="T114" i="1"/>
  <c r="R114" i="1"/>
  <c r="P114" i="1"/>
  <c r="Z112" i="1"/>
  <c r="X112" i="1"/>
  <c r="T112" i="1"/>
  <c r="R112" i="1"/>
  <c r="P112" i="1"/>
  <c r="Z110" i="1"/>
  <c r="X110" i="1"/>
  <c r="T110" i="1"/>
  <c r="R110" i="1"/>
  <c r="P110" i="1"/>
  <c r="Y172" i="1"/>
  <c r="T172" i="1"/>
  <c r="P172" i="1"/>
  <c r="AA171" i="1"/>
  <c r="Y171" i="1"/>
  <c r="W171" i="1"/>
  <c r="S171" i="1"/>
  <c r="Q171" i="1"/>
  <c r="O171" i="1"/>
  <c r="Y168" i="1"/>
  <c r="T168" i="1"/>
  <c r="P168" i="1"/>
  <c r="Z167" i="1"/>
  <c r="S167" i="1"/>
  <c r="O167" i="1"/>
  <c r="AA166" i="1"/>
  <c r="Y166" i="1"/>
  <c r="W166" i="1"/>
  <c r="S166" i="1"/>
  <c r="Q166" i="1"/>
  <c r="O166" i="1"/>
  <c r="L165" i="1"/>
  <c r="N165" i="1" s="1"/>
  <c r="P165" i="1"/>
  <c r="R165" i="1"/>
  <c r="Z229" i="1"/>
  <c r="Y286" i="1"/>
  <c r="T286" i="1"/>
  <c r="Z285" i="1"/>
  <c r="U285" i="1"/>
  <c r="Z284" i="1"/>
  <c r="U284" i="1"/>
  <c r="Z283" i="1"/>
  <c r="U283" i="1"/>
  <c r="K116" i="1"/>
  <c r="M116" i="1" s="1"/>
  <c r="L229" i="1"/>
  <c r="N229" i="1" s="1"/>
  <c r="O229" i="1"/>
  <c r="S229" i="1"/>
  <c r="X229" i="1"/>
  <c r="L286" i="1"/>
  <c r="N286" i="1" s="1"/>
  <c r="O286" i="1"/>
  <c r="Q286" i="1"/>
  <c r="S286" i="1"/>
  <c r="U286" i="1"/>
  <c r="X286" i="1"/>
  <c r="Z286" i="1"/>
  <c r="L285" i="1"/>
  <c r="N285" i="1" s="1"/>
  <c r="P285" i="1"/>
  <c r="R285" i="1"/>
  <c r="T285" i="1"/>
  <c r="W285" i="1"/>
  <c r="Y285" i="1"/>
  <c r="AA285" i="1"/>
  <c r="L284" i="1"/>
  <c r="N284" i="1" s="1"/>
  <c r="P284" i="1"/>
  <c r="R284" i="1"/>
  <c r="T284" i="1"/>
  <c r="W284" i="1"/>
  <c r="Y284" i="1"/>
  <c r="AA284" i="1"/>
  <c r="L283" i="1"/>
  <c r="N283" i="1" s="1"/>
  <c r="P283" i="1"/>
  <c r="R283" i="1"/>
  <c r="T283" i="1"/>
  <c r="W283" i="1"/>
  <c r="Y283" i="1"/>
  <c r="AA283" i="1"/>
  <c r="AA282" i="1"/>
  <c r="Y282" i="1"/>
  <c r="W282" i="1"/>
  <c r="T282" i="1"/>
  <c r="R282" i="1"/>
  <c r="P282" i="1"/>
  <c r="AA281" i="1"/>
  <c r="Y281" i="1"/>
  <c r="W281" i="1"/>
  <c r="T281" i="1"/>
  <c r="R281" i="1"/>
  <c r="P281" i="1"/>
  <c r="AA280" i="1"/>
  <c r="Y280" i="1"/>
  <c r="W280" i="1"/>
  <c r="T280" i="1"/>
  <c r="R280" i="1"/>
  <c r="P280" i="1"/>
  <c r="AA279" i="1"/>
  <c r="Y279" i="1"/>
  <c r="W279" i="1"/>
  <c r="T279" i="1"/>
  <c r="R279" i="1"/>
  <c r="P279" i="1"/>
  <c r="AA278" i="1"/>
  <c r="Y278" i="1"/>
  <c r="W278" i="1"/>
  <c r="T278" i="1"/>
  <c r="R278" i="1"/>
  <c r="P278" i="1"/>
  <c r="AA277" i="1"/>
  <c r="Y277" i="1"/>
  <c r="W277" i="1"/>
  <c r="T277" i="1"/>
  <c r="R277" i="1"/>
  <c r="P277" i="1"/>
  <c r="AA230" i="1"/>
  <c r="Y230" i="1"/>
  <c r="W230" i="1"/>
  <c r="T230" i="1"/>
  <c r="R230" i="1"/>
  <c r="P230" i="1"/>
  <c r="AA229" i="1"/>
  <c r="Y229" i="1"/>
  <c r="W229" i="1"/>
  <c r="T229" i="1"/>
  <c r="R229" i="1"/>
  <c r="P229" i="1"/>
  <c r="X117" i="1"/>
  <c r="S117" i="1"/>
  <c r="O117" i="1"/>
  <c r="Z174" i="1"/>
  <c r="X174" i="1"/>
  <c r="U174" i="1"/>
  <c r="S174" i="1"/>
  <c r="Q174" i="1"/>
  <c r="O174" i="1"/>
  <c r="Z172" i="1"/>
  <c r="X172" i="1"/>
  <c r="U172" i="1"/>
  <c r="S172" i="1"/>
  <c r="Q172" i="1"/>
  <c r="O172" i="1"/>
  <c r="Z170" i="1"/>
  <c r="X170" i="1"/>
  <c r="U170" i="1"/>
  <c r="S170" i="1"/>
  <c r="Q170" i="1"/>
  <c r="O170" i="1"/>
  <c r="Z168" i="1"/>
  <c r="X168" i="1"/>
  <c r="U168" i="1"/>
  <c r="S168" i="1"/>
  <c r="Q168" i="1"/>
  <c r="O168" i="1"/>
  <c r="AA167" i="1"/>
  <c r="Y167" i="1"/>
  <c r="W167" i="1"/>
  <c r="T167" i="1"/>
  <c r="R167" i="1"/>
  <c r="P167" i="1"/>
  <c r="AA118" i="1"/>
  <c r="Y118" i="1"/>
  <c r="W118" i="1"/>
  <c r="T118" i="1"/>
  <c r="R118" i="1"/>
  <c r="P118" i="1"/>
  <c r="AA117" i="1"/>
  <c r="Y117" i="1"/>
  <c r="W117" i="1"/>
  <c r="T117" i="1"/>
  <c r="R117" i="1"/>
  <c r="P117" i="1"/>
  <c r="N340" i="1" l="1"/>
  <c r="M340" i="1"/>
  <c r="A340" i="1"/>
  <c r="N339" i="1"/>
  <c r="M339" i="1"/>
  <c r="A339" i="1"/>
  <c r="N346" i="1"/>
  <c r="M346" i="1"/>
  <c r="A346" i="1"/>
  <c r="L233" i="4" l="1"/>
  <c r="M233" i="4"/>
  <c r="L234" i="4"/>
  <c r="M234" i="4"/>
  <c r="L235" i="4"/>
  <c r="M235" i="4"/>
  <c r="L236" i="4"/>
  <c r="M236" i="4"/>
  <c r="L237" i="4"/>
  <c r="M237" i="4"/>
  <c r="L238" i="4"/>
  <c r="M238" i="4"/>
  <c r="L239" i="4"/>
  <c r="M239" i="4"/>
  <c r="L240" i="4"/>
  <c r="M240" i="4"/>
  <c r="L241" i="4"/>
  <c r="M241" i="4"/>
  <c r="L242" i="4"/>
  <c r="M242" i="4"/>
  <c r="L243" i="4"/>
  <c r="M243" i="4"/>
  <c r="L244" i="4"/>
  <c r="M244" i="4"/>
  <c r="L245" i="4"/>
  <c r="M245" i="4"/>
  <c r="L246" i="4"/>
  <c r="M246" i="4"/>
  <c r="L247" i="4"/>
  <c r="M247" i="4"/>
  <c r="L248" i="4"/>
  <c r="M248" i="4"/>
  <c r="L249" i="4"/>
  <c r="M249" i="4"/>
  <c r="L250" i="4"/>
  <c r="M250" i="4"/>
  <c r="L251" i="4"/>
  <c r="M251" i="4"/>
  <c r="L252" i="4"/>
  <c r="M252" i="4"/>
  <c r="L253" i="4"/>
  <c r="M253" i="4"/>
  <c r="L254" i="4"/>
  <c r="M254" i="4"/>
  <c r="L255" i="4"/>
  <c r="M255" i="4"/>
  <c r="L256" i="4"/>
  <c r="M256" i="4"/>
  <c r="L257" i="4"/>
  <c r="M257" i="4"/>
  <c r="L258" i="4"/>
  <c r="M258" i="4"/>
  <c r="L259" i="4"/>
  <c r="M259" i="4"/>
  <c r="L260" i="4"/>
  <c r="M260" i="4"/>
  <c r="L261" i="4"/>
  <c r="M261" i="4"/>
  <c r="L262" i="4"/>
  <c r="M262" i="4"/>
  <c r="L263" i="4"/>
  <c r="M263" i="4"/>
  <c r="L264" i="4"/>
  <c r="M264" i="4"/>
  <c r="L265" i="4"/>
  <c r="M265" i="4"/>
  <c r="L266" i="4"/>
  <c r="M266" i="4"/>
  <c r="L267" i="4"/>
  <c r="M267" i="4"/>
  <c r="L268" i="4"/>
  <c r="M268" i="4"/>
  <c r="L269" i="4"/>
  <c r="M269" i="4"/>
  <c r="L270" i="4"/>
  <c r="M270" i="4"/>
  <c r="L271" i="4"/>
  <c r="M271" i="4"/>
  <c r="L272" i="4"/>
  <c r="M272" i="4"/>
  <c r="L273" i="4"/>
  <c r="M273" i="4"/>
  <c r="L274" i="4"/>
  <c r="M274" i="4"/>
  <c r="L275" i="4"/>
  <c r="M275" i="4"/>
  <c r="L276" i="4"/>
  <c r="M276" i="4"/>
  <c r="M232" i="4"/>
  <c r="L232" i="4"/>
  <c r="L177" i="4"/>
  <c r="M177" i="4"/>
  <c r="L178" i="4"/>
  <c r="M178" i="4"/>
  <c r="L179" i="4"/>
  <c r="M179" i="4"/>
  <c r="L180" i="4"/>
  <c r="M180" i="4"/>
  <c r="L181" i="4"/>
  <c r="M181" i="4"/>
  <c r="L182" i="4"/>
  <c r="M182" i="4"/>
  <c r="L183" i="4"/>
  <c r="M183" i="4"/>
  <c r="L184" i="4"/>
  <c r="M184" i="4"/>
  <c r="L185" i="4"/>
  <c r="M185" i="4"/>
  <c r="L186" i="4"/>
  <c r="M186" i="4"/>
  <c r="L187" i="4"/>
  <c r="M187" i="4"/>
  <c r="L188" i="4"/>
  <c r="M188" i="4"/>
  <c r="L189" i="4"/>
  <c r="M189" i="4"/>
  <c r="L190" i="4"/>
  <c r="M190" i="4"/>
  <c r="L191" i="4"/>
  <c r="M191" i="4"/>
  <c r="L192" i="4"/>
  <c r="M192" i="4"/>
  <c r="L193" i="4"/>
  <c r="M193" i="4"/>
  <c r="L194" i="4"/>
  <c r="M194" i="4"/>
  <c r="L195" i="4"/>
  <c r="M195" i="4"/>
  <c r="L196" i="4"/>
  <c r="M196" i="4"/>
  <c r="L197" i="4"/>
  <c r="M197" i="4"/>
  <c r="L198" i="4"/>
  <c r="M198" i="4"/>
  <c r="L199" i="4"/>
  <c r="M199" i="4"/>
  <c r="L200" i="4"/>
  <c r="M200" i="4"/>
  <c r="L201" i="4"/>
  <c r="M201" i="4"/>
  <c r="L202" i="4"/>
  <c r="M202" i="4"/>
  <c r="L203" i="4"/>
  <c r="M203" i="4"/>
  <c r="L204" i="4"/>
  <c r="M204" i="4"/>
  <c r="L205" i="4"/>
  <c r="M205" i="4"/>
  <c r="L206" i="4"/>
  <c r="M206" i="4"/>
  <c r="L207" i="4"/>
  <c r="M207" i="4"/>
  <c r="L208" i="4"/>
  <c r="M208" i="4"/>
  <c r="L209" i="4"/>
  <c r="M209" i="4"/>
  <c r="L210" i="4"/>
  <c r="M210" i="4"/>
  <c r="L211" i="4"/>
  <c r="M211" i="4"/>
  <c r="L212" i="4"/>
  <c r="M212" i="4"/>
  <c r="L213" i="4"/>
  <c r="M213" i="4"/>
  <c r="L214" i="4"/>
  <c r="M214" i="4"/>
  <c r="L215" i="4"/>
  <c r="M215" i="4"/>
  <c r="L216" i="4"/>
  <c r="M216" i="4"/>
  <c r="L217" i="4"/>
  <c r="M217" i="4"/>
  <c r="L218" i="4"/>
  <c r="M218" i="4"/>
  <c r="L219" i="4"/>
  <c r="M219" i="4"/>
  <c r="L220" i="4"/>
  <c r="M220" i="4"/>
  <c r="M176" i="4"/>
  <c r="L176" i="4"/>
  <c r="I177" i="1" l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176" i="1"/>
  <c r="A220" i="1" l="1"/>
  <c r="A219" i="1"/>
  <c r="A218" i="1"/>
  <c r="A217" i="1"/>
  <c r="A216" i="1"/>
  <c r="A215" i="1"/>
  <c r="T214" i="1"/>
  <c r="A214" i="1"/>
  <c r="T213" i="1"/>
  <c r="A213" i="1"/>
  <c r="T212" i="1"/>
  <c r="A212" i="1"/>
  <c r="T211" i="1"/>
  <c r="A211" i="1"/>
  <c r="A210" i="1"/>
  <c r="A209" i="1"/>
  <c r="A208" i="1"/>
  <c r="A207" i="1"/>
  <c r="A206" i="1"/>
  <c r="A205" i="1"/>
  <c r="A204" i="1"/>
  <c r="A203" i="1"/>
  <c r="A202" i="1"/>
  <c r="T201" i="1"/>
  <c r="A201" i="1"/>
  <c r="A200" i="1"/>
  <c r="T199" i="1"/>
  <c r="A199" i="1"/>
  <c r="T198" i="1"/>
  <c r="A198" i="1"/>
  <c r="T197" i="1"/>
  <c r="A197" i="1"/>
  <c r="T196" i="1"/>
  <c r="A196" i="1"/>
  <c r="T195" i="1"/>
  <c r="A195" i="1"/>
  <c r="T194" i="1"/>
  <c r="A194" i="1"/>
  <c r="T193" i="1"/>
  <c r="A193" i="1"/>
  <c r="T192" i="1"/>
  <c r="A192" i="1"/>
  <c r="T191" i="1"/>
  <c r="A191" i="1"/>
  <c r="T190" i="1"/>
  <c r="A190" i="1"/>
  <c r="T189" i="1"/>
  <c r="A189" i="1"/>
  <c r="T188" i="1"/>
  <c r="A188" i="1"/>
  <c r="T187" i="1"/>
  <c r="A187" i="1"/>
  <c r="T186" i="1"/>
  <c r="A186" i="1"/>
  <c r="T185" i="1"/>
  <c r="A185" i="1"/>
  <c r="T184" i="1"/>
  <c r="A184" i="1"/>
  <c r="T183" i="1"/>
  <c r="A183" i="1"/>
  <c r="T182" i="1"/>
  <c r="A182" i="1"/>
  <c r="T181" i="1"/>
  <c r="A181" i="1"/>
  <c r="T180" i="1"/>
  <c r="A180" i="1"/>
  <c r="A179" i="1"/>
  <c r="A178" i="1"/>
  <c r="A177" i="1"/>
  <c r="A176" i="1"/>
  <c r="T176" i="1" l="1"/>
  <c r="T177" i="1"/>
  <c r="T178" i="1"/>
  <c r="T179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T200" i="1"/>
  <c r="T202" i="1"/>
  <c r="T203" i="1"/>
  <c r="T204" i="1"/>
  <c r="T205" i="1"/>
  <c r="T206" i="1"/>
  <c r="T207" i="1"/>
  <c r="T208" i="1"/>
  <c r="T209" i="1"/>
  <c r="T21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T215" i="1"/>
  <c r="T216" i="1"/>
  <c r="T217" i="1"/>
  <c r="T218" i="1"/>
  <c r="T219" i="1"/>
  <c r="T220" i="1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176" i="4"/>
  <c r="N177" i="4"/>
  <c r="U177" i="1" s="1"/>
  <c r="N178" i="4"/>
  <c r="U178" i="1" s="1"/>
  <c r="N179" i="4"/>
  <c r="U179" i="1" s="1"/>
  <c r="N180" i="4"/>
  <c r="U180" i="1" s="1"/>
  <c r="N181" i="4"/>
  <c r="U181" i="1" s="1"/>
  <c r="N182" i="4"/>
  <c r="U182" i="1" s="1"/>
  <c r="N183" i="4"/>
  <c r="U183" i="1" s="1"/>
  <c r="N184" i="4"/>
  <c r="U184" i="1" s="1"/>
  <c r="N185" i="4"/>
  <c r="U185" i="1" s="1"/>
  <c r="N186" i="4"/>
  <c r="U186" i="1" s="1"/>
  <c r="N187" i="4"/>
  <c r="U187" i="1" s="1"/>
  <c r="N188" i="4"/>
  <c r="U188" i="1" s="1"/>
  <c r="N189" i="4"/>
  <c r="U189" i="1" s="1"/>
  <c r="N190" i="4"/>
  <c r="U190" i="1" s="1"/>
  <c r="N191" i="4"/>
  <c r="U191" i="1" s="1"/>
  <c r="N192" i="4"/>
  <c r="U192" i="1" s="1"/>
  <c r="N193" i="4"/>
  <c r="U193" i="1" s="1"/>
  <c r="N194" i="4"/>
  <c r="U194" i="1" s="1"/>
  <c r="N195" i="4"/>
  <c r="U195" i="1" s="1"/>
  <c r="N196" i="4"/>
  <c r="U196" i="1" s="1"/>
  <c r="N197" i="4"/>
  <c r="U197" i="1" s="1"/>
  <c r="N198" i="4"/>
  <c r="U198" i="1" s="1"/>
  <c r="N199" i="4"/>
  <c r="U199" i="1" s="1"/>
  <c r="N200" i="4"/>
  <c r="U200" i="1" s="1"/>
  <c r="N201" i="4"/>
  <c r="U201" i="1" s="1"/>
  <c r="N202" i="4"/>
  <c r="U202" i="1" s="1"/>
  <c r="N203" i="4"/>
  <c r="U203" i="1" s="1"/>
  <c r="N204" i="4"/>
  <c r="U204" i="1" s="1"/>
  <c r="N205" i="4"/>
  <c r="U205" i="1" s="1"/>
  <c r="N206" i="4"/>
  <c r="U206" i="1" s="1"/>
  <c r="N207" i="4"/>
  <c r="U207" i="1" s="1"/>
  <c r="N208" i="4"/>
  <c r="U208" i="1" s="1"/>
  <c r="N209" i="4"/>
  <c r="U209" i="1" s="1"/>
  <c r="N210" i="4"/>
  <c r="U210" i="1" s="1"/>
  <c r="N211" i="4"/>
  <c r="U211" i="1" s="1"/>
  <c r="N212" i="4"/>
  <c r="U212" i="1" s="1"/>
  <c r="N213" i="4"/>
  <c r="U213" i="1" s="1"/>
  <c r="N214" i="4"/>
  <c r="U214" i="1" s="1"/>
  <c r="N215" i="4"/>
  <c r="U215" i="1" s="1"/>
  <c r="N216" i="4"/>
  <c r="U216" i="1" s="1"/>
  <c r="N217" i="4"/>
  <c r="U217" i="1" s="1"/>
  <c r="N218" i="4"/>
  <c r="U218" i="1" s="1"/>
  <c r="N219" i="4"/>
  <c r="U219" i="1" s="1"/>
  <c r="N220" i="4"/>
  <c r="U220" i="1" s="1"/>
  <c r="N176" i="4"/>
  <c r="U176" i="1" s="1"/>
  <c r="F177" i="4"/>
  <c r="H177" i="4"/>
  <c r="O177" i="1" s="1"/>
  <c r="I177" i="4"/>
  <c r="P177" i="1" s="1"/>
  <c r="J177" i="4"/>
  <c r="Q177" i="1" s="1"/>
  <c r="K177" i="4"/>
  <c r="R177" i="1" s="1"/>
  <c r="P177" i="4"/>
  <c r="W177" i="1" s="1"/>
  <c r="Q177" i="4"/>
  <c r="X177" i="1" s="1"/>
  <c r="R177" i="4"/>
  <c r="Y177" i="1" s="1"/>
  <c r="S177" i="4"/>
  <c r="Z177" i="1" s="1"/>
  <c r="T177" i="4"/>
  <c r="AA177" i="1" s="1"/>
  <c r="F178" i="4"/>
  <c r="H178" i="4"/>
  <c r="O178" i="1" s="1"/>
  <c r="I178" i="4"/>
  <c r="P178" i="1" s="1"/>
  <c r="J178" i="4"/>
  <c r="Q178" i="1" s="1"/>
  <c r="K178" i="4"/>
  <c r="R178" i="1" s="1"/>
  <c r="P178" i="4"/>
  <c r="W178" i="1" s="1"/>
  <c r="Q178" i="4"/>
  <c r="X178" i="1" s="1"/>
  <c r="R178" i="4"/>
  <c r="Y178" i="1" s="1"/>
  <c r="S178" i="4"/>
  <c r="Z178" i="1" s="1"/>
  <c r="T178" i="4"/>
  <c r="AA178" i="1" s="1"/>
  <c r="F179" i="4"/>
  <c r="H179" i="4"/>
  <c r="O179" i="1" s="1"/>
  <c r="I179" i="4"/>
  <c r="P179" i="1" s="1"/>
  <c r="J179" i="4"/>
  <c r="Q179" i="1" s="1"/>
  <c r="K179" i="4"/>
  <c r="R179" i="1" s="1"/>
  <c r="P179" i="4"/>
  <c r="W179" i="1" s="1"/>
  <c r="Q179" i="4"/>
  <c r="X179" i="1" s="1"/>
  <c r="R179" i="4"/>
  <c r="Y179" i="1" s="1"/>
  <c r="S179" i="4"/>
  <c r="Z179" i="1" s="1"/>
  <c r="T179" i="4"/>
  <c r="AA179" i="1" s="1"/>
  <c r="F180" i="4"/>
  <c r="H180" i="4"/>
  <c r="O180" i="1" s="1"/>
  <c r="I180" i="4"/>
  <c r="P180" i="1" s="1"/>
  <c r="J180" i="4"/>
  <c r="Q180" i="1" s="1"/>
  <c r="K180" i="4"/>
  <c r="R180" i="1" s="1"/>
  <c r="P180" i="4"/>
  <c r="W180" i="1" s="1"/>
  <c r="Q180" i="4"/>
  <c r="X180" i="1" s="1"/>
  <c r="R180" i="4"/>
  <c r="Y180" i="1" s="1"/>
  <c r="S180" i="4"/>
  <c r="Z180" i="1" s="1"/>
  <c r="T180" i="4"/>
  <c r="AA180" i="1" s="1"/>
  <c r="F181" i="4"/>
  <c r="H181" i="4"/>
  <c r="O181" i="1" s="1"/>
  <c r="I181" i="4"/>
  <c r="P181" i="1" s="1"/>
  <c r="J181" i="4"/>
  <c r="Q181" i="1" s="1"/>
  <c r="K181" i="4"/>
  <c r="R181" i="1" s="1"/>
  <c r="P181" i="4"/>
  <c r="W181" i="1" s="1"/>
  <c r="Q181" i="4"/>
  <c r="X181" i="1" s="1"/>
  <c r="R181" i="4"/>
  <c r="Y181" i="1" s="1"/>
  <c r="S181" i="4"/>
  <c r="Z181" i="1" s="1"/>
  <c r="T181" i="4"/>
  <c r="AA181" i="1" s="1"/>
  <c r="F182" i="4"/>
  <c r="H182" i="4"/>
  <c r="O182" i="1" s="1"/>
  <c r="I182" i="4"/>
  <c r="P182" i="1" s="1"/>
  <c r="J182" i="4"/>
  <c r="Q182" i="1" s="1"/>
  <c r="K182" i="4"/>
  <c r="R182" i="1" s="1"/>
  <c r="P182" i="4"/>
  <c r="W182" i="1" s="1"/>
  <c r="Q182" i="4"/>
  <c r="X182" i="1" s="1"/>
  <c r="R182" i="4"/>
  <c r="Y182" i="1" s="1"/>
  <c r="S182" i="4"/>
  <c r="Z182" i="1" s="1"/>
  <c r="T182" i="4"/>
  <c r="AA182" i="1" s="1"/>
  <c r="F183" i="4"/>
  <c r="H183" i="4"/>
  <c r="O183" i="1" s="1"/>
  <c r="I183" i="4"/>
  <c r="P183" i="1" s="1"/>
  <c r="J183" i="4"/>
  <c r="Q183" i="1" s="1"/>
  <c r="K183" i="4"/>
  <c r="R183" i="1" s="1"/>
  <c r="P183" i="4"/>
  <c r="W183" i="1" s="1"/>
  <c r="Q183" i="4"/>
  <c r="X183" i="1" s="1"/>
  <c r="R183" i="4"/>
  <c r="Y183" i="1" s="1"/>
  <c r="S183" i="4"/>
  <c r="Z183" i="1" s="1"/>
  <c r="T183" i="4"/>
  <c r="AA183" i="1" s="1"/>
  <c r="F184" i="4"/>
  <c r="H184" i="4"/>
  <c r="O184" i="1" s="1"/>
  <c r="I184" i="4"/>
  <c r="P184" i="1" s="1"/>
  <c r="J184" i="4"/>
  <c r="Q184" i="1" s="1"/>
  <c r="K184" i="4"/>
  <c r="R184" i="1" s="1"/>
  <c r="P184" i="4"/>
  <c r="W184" i="1" s="1"/>
  <c r="Q184" i="4"/>
  <c r="X184" i="1" s="1"/>
  <c r="R184" i="4"/>
  <c r="Y184" i="1" s="1"/>
  <c r="S184" i="4"/>
  <c r="Z184" i="1" s="1"/>
  <c r="T184" i="4"/>
  <c r="AA184" i="1" s="1"/>
  <c r="F185" i="4"/>
  <c r="H185" i="4"/>
  <c r="O185" i="1" s="1"/>
  <c r="I185" i="4"/>
  <c r="P185" i="1" s="1"/>
  <c r="J185" i="4"/>
  <c r="Q185" i="1" s="1"/>
  <c r="K185" i="4"/>
  <c r="R185" i="1" s="1"/>
  <c r="P185" i="4"/>
  <c r="W185" i="1" s="1"/>
  <c r="Q185" i="4"/>
  <c r="X185" i="1" s="1"/>
  <c r="R185" i="4"/>
  <c r="Y185" i="1" s="1"/>
  <c r="S185" i="4"/>
  <c r="Z185" i="1" s="1"/>
  <c r="T185" i="4"/>
  <c r="AA185" i="1" s="1"/>
  <c r="F186" i="4"/>
  <c r="H186" i="4"/>
  <c r="O186" i="1" s="1"/>
  <c r="I186" i="4"/>
  <c r="P186" i="1" s="1"/>
  <c r="J186" i="4"/>
  <c r="Q186" i="1" s="1"/>
  <c r="K186" i="4"/>
  <c r="R186" i="1" s="1"/>
  <c r="P186" i="4"/>
  <c r="W186" i="1" s="1"/>
  <c r="Q186" i="4"/>
  <c r="X186" i="1" s="1"/>
  <c r="R186" i="4"/>
  <c r="Y186" i="1" s="1"/>
  <c r="S186" i="4"/>
  <c r="Z186" i="1" s="1"/>
  <c r="T186" i="4"/>
  <c r="AA186" i="1" s="1"/>
  <c r="F187" i="4"/>
  <c r="H187" i="4"/>
  <c r="O187" i="1" s="1"/>
  <c r="I187" i="4"/>
  <c r="P187" i="1" s="1"/>
  <c r="J187" i="4"/>
  <c r="Q187" i="1" s="1"/>
  <c r="K187" i="4"/>
  <c r="R187" i="1" s="1"/>
  <c r="P187" i="4"/>
  <c r="W187" i="1" s="1"/>
  <c r="Q187" i="4"/>
  <c r="X187" i="1" s="1"/>
  <c r="R187" i="4"/>
  <c r="Y187" i="1" s="1"/>
  <c r="S187" i="4"/>
  <c r="Z187" i="1" s="1"/>
  <c r="T187" i="4"/>
  <c r="AA187" i="1" s="1"/>
  <c r="F188" i="4"/>
  <c r="H188" i="4"/>
  <c r="O188" i="1" s="1"/>
  <c r="I188" i="4"/>
  <c r="P188" i="1" s="1"/>
  <c r="J188" i="4"/>
  <c r="Q188" i="1" s="1"/>
  <c r="K188" i="4"/>
  <c r="R188" i="1" s="1"/>
  <c r="P188" i="4"/>
  <c r="W188" i="1" s="1"/>
  <c r="Q188" i="4"/>
  <c r="X188" i="1" s="1"/>
  <c r="R188" i="4"/>
  <c r="Y188" i="1" s="1"/>
  <c r="S188" i="4"/>
  <c r="Z188" i="1" s="1"/>
  <c r="T188" i="4"/>
  <c r="AA188" i="1" s="1"/>
  <c r="F189" i="4"/>
  <c r="H189" i="4"/>
  <c r="O189" i="1" s="1"/>
  <c r="I189" i="4"/>
  <c r="P189" i="1" s="1"/>
  <c r="J189" i="4"/>
  <c r="Q189" i="1" s="1"/>
  <c r="K189" i="4"/>
  <c r="R189" i="1" s="1"/>
  <c r="P189" i="4"/>
  <c r="W189" i="1" s="1"/>
  <c r="Q189" i="4"/>
  <c r="X189" i="1" s="1"/>
  <c r="R189" i="4"/>
  <c r="Y189" i="1" s="1"/>
  <c r="S189" i="4"/>
  <c r="Z189" i="1" s="1"/>
  <c r="T189" i="4"/>
  <c r="AA189" i="1" s="1"/>
  <c r="F190" i="4"/>
  <c r="H190" i="4"/>
  <c r="O190" i="1" s="1"/>
  <c r="I190" i="4"/>
  <c r="P190" i="1" s="1"/>
  <c r="J190" i="4"/>
  <c r="Q190" i="1" s="1"/>
  <c r="K190" i="4"/>
  <c r="R190" i="1" s="1"/>
  <c r="P190" i="4"/>
  <c r="W190" i="1" s="1"/>
  <c r="Q190" i="4"/>
  <c r="X190" i="1" s="1"/>
  <c r="R190" i="4"/>
  <c r="Y190" i="1" s="1"/>
  <c r="S190" i="4"/>
  <c r="Z190" i="1" s="1"/>
  <c r="T190" i="4"/>
  <c r="AA190" i="1" s="1"/>
  <c r="F191" i="4"/>
  <c r="H191" i="4"/>
  <c r="O191" i="1" s="1"/>
  <c r="I191" i="4"/>
  <c r="P191" i="1" s="1"/>
  <c r="J191" i="4"/>
  <c r="Q191" i="1" s="1"/>
  <c r="K191" i="4"/>
  <c r="R191" i="1" s="1"/>
  <c r="P191" i="4"/>
  <c r="W191" i="1" s="1"/>
  <c r="Q191" i="4"/>
  <c r="X191" i="1" s="1"/>
  <c r="R191" i="4"/>
  <c r="Y191" i="1" s="1"/>
  <c r="S191" i="4"/>
  <c r="Z191" i="1" s="1"/>
  <c r="T191" i="4"/>
  <c r="AA191" i="1" s="1"/>
  <c r="F192" i="4"/>
  <c r="H192" i="4"/>
  <c r="O192" i="1" s="1"/>
  <c r="I192" i="4"/>
  <c r="P192" i="1" s="1"/>
  <c r="J192" i="4"/>
  <c r="Q192" i="1" s="1"/>
  <c r="K192" i="4"/>
  <c r="R192" i="1" s="1"/>
  <c r="P192" i="4"/>
  <c r="W192" i="1" s="1"/>
  <c r="Q192" i="4"/>
  <c r="X192" i="1" s="1"/>
  <c r="R192" i="4"/>
  <c r="Y192" i="1" s="1"/>
  <c r="S192" i="4"/>
  <c r="Z192" i="1" s="1"/>
  <c r="T192" i="4"/>
  <c r="AA192" i="1" s="1"/>
  <c r="F193" i="4"/>
  <c r="H193" i="4"/>
  <c r="O193" i="1" s="1"/>
  <c r="I193" i="4"/>
  <c r="P193" i="1" s="1"/>
  <c r="J193" i="4"/>
  <c r="Q193" i="1" s="1"/>
  <c r="K193" i="4"/>
  <c r="R193" i="1" s="1"/>
  <c r="P193" i="4"/>
  <c r="W193" i="1" s="1"/>
  <c r="Q193" i="4"/>
  <c r="X193" i="1" s="1"/>
  <c r="R193" i="4"/>
  <c r="Y193" i="1" s="1"/>
  <c r="S193" i="4"/>
  <c r="Z193" i="1" s="1"/>
  <c r="T193" i="4"/>
  <c r="AA193" i="1" s="1"/>
  <c r="F194" i="4"/>
  <c r="H194" i="4"/>
  <c r="O194" i="1" s="1"/>
  <c r="I194" i="4"/>
  <c r="P194" i="1" s="1"/>
  <c r="J194" i="4"/>
  <c r="Q194" i="1" s="1"/>
  <c r="K194" i="4"/>
  <c r="R194" i="1" s="1"/>
  <c r="P194" i="4"/>
  <c r="W194" i="1" s="1"/>
  <c r="Q194" i="4"/>
  <c r="X194" i="1" s="1"/>
  <c r="R194" i="4"/>
  <c r="Y194" i="1" s="1"/>
  <c r="S194" i="4"/>
  <c r="Z194" i="1" s="1"/>
  <c r="T194" i="4"/>
  <c r="AA194" i="1" s="1"/>
  <c r="F195" i="4"/>
  <c r="H195" i="4"/>
  <c r="O195" i="1" s="1"/>
  <c r="I195" i="4"/>
  <c r="P195" i="1" s="1"/>
  <c r="J195" i="4"/>
  <c r="Q195" i="1" s="1"/>
  <c r="K195" i="4"/>
  <c r="R195" i="1" s="1"/>
  <c r="P195" i="4"/>
  <c r="W195" i="1" s="1"/>
  <c r="Q195" i="4"/>
  <c r="X195" i="1" s="1"/>
  <c r="R195" i="4"/>
  <c r="Y195" i="1" s="1"/>
  <c r="S195" i="4"/>
  <c r="Z195" i="1" s="1"/>
  <c r="T195" i="4"/>
  <c r="AA195" i="1" s="1"/>
  <c r="F196" i="4"/>
  <c r="H196" i="4"/>
  <c r="O196" i="1" s="1"/>
  <c r="I196" i="4"/>
  <c r="P196" i="1" s="1"/>
  <c r="J196" i="4"/>
  <c r="Q196" i="1" s="1"/>
  <c r="K196" i="4"/>
  <c r="R196" i="1" s="1"/>
  <c r="P196" i="4"/>
  <c r="W196" i="1" s="1"/>
  <c r="Q196" i="4"/>
  <c r="X196" i="1" s="1"/>
  <c r="R196" i="4"/>
  <c r="Y196" i="1" s="1"/>
  <c r="S196" i="4"/>
  <c r="Z196" i="1" s="1"/>
  <c r="T196" i="4"/>
  <c r="AA196" i="1" s="1"/>
  <c r="F197" i="4"/>
  <c r="H197" i="4"/>
  <c r="O197" i="1" s="1"/>
  <c r="I197" i="4"/>
  <c r="P197" i="1" s="1"/>
  <c r="J197" i="4"/>
  <c r="Q197" i="1" s="1"/>
  <c r="K197" i="4"/>
  <c r="R197" i="1" s="1"/>
  <c r="P197" i="4"/>
  <c r="W197" i="1" s="1"/>
  <c r="Q197" i="4"/>
  <c r="X197" i="1" s="1"/>
  <c r="R197" i="4"/>
  <c r="Y197" i="1" s="1"/>
  <c r="S197" i="4"/>
  <c r="Z197" i="1" s="1"/>
  <c r="T197" i="4"/>
  <c r="AA197" i="1" s="1"/>
  <c r="F198" i="4"/>
  <c r="H198" i="4"/>
  <c r="O198" i="1" s="1"/>
  <c r="I198" i="4"/>
  <c r="P198" i="1" s="1"/>
  <c r="J198" i="4"/>
  <c r="Q198" i="1" s="1"/>
  <c r="K198" i="4"/>
  <c r="R198" i="1" s="1"/>
  <c r="P198" i="4"/>
  <c r="W198" i="1" s="1"/>
  <c r="Q198" i="4"/>
  <c r="X198" i="1" s="1"/>
  <c r="R198" i="4"/>
  <c r="Y198" i="1" s="1"/>
  <c r="S198" i="4"/>
  <c r="Z198" i="1" s="1"/>
  <c r="T198" i="4"/>
  <c r="AA198" i="1" s="1"/>
  <c r="F199" i="4"/>
  <c r="H199" i="4"/>
  <c r="O199" i="1" s="1"/>
  <c r="I199" i="4"/>
  <c r="P199" i="1" s="1"/>
  <c r="J199" i="4"/>
  <c r="Q199" i="1" s="1"/>
  <c r="K199" i="4"/>
  <c r="R199" i="1" s="1"/>
  <c r="P199" i="4"/>
  <c r="W199" i="1" s="1"/>
  <c r="Q199" i="4"/>
  <c r="X199" i="1" s="1"/>
  <c r="R199" i="4"/>
  <c r="Y199" i="1" s="1"/>
  <c r="S199" i="4"/>
  <c r="Z199" i="1" s="1"/>
  <c r="T199" i="4"/>
  <c r="AA199" i="1" s="1"/>
  <c r="F200" i="4"/>
  <c r="H200" i="4"/>
  <c r="O200" i="1" s="1"/>
  <c r="I200" i="4"/>
  <c r="P200" i="1" s="1"/>
  <c r="J200" i="4"/>
  <c r="Q200" i="1" s="1"/>
  <c r="K200" i="4"/>
  <c r="R200" i="1" s="1"/>
  <c r="P200" i="4"/>
  <c r="W200" i="1" s="1"/>
  <c r="Q200" i="4"/>
  <c r="X200" i="1" s="1"/>
  <c r="R200" i="4"/>
  <c r="Y200" i="1" s="1"/>
  <c r="S200" i="4"/>
  <c r="Z200" i="1" s="1"/>
  <c r="T200" i="4"/>
  <c r="AA200" i="1" s="1"/>
  <c r="F201" i="4"/>
  <c r="H201" i="4"/>
  <c r="O201" i="1" s="1"/>
  <c r="I201" i="4"/>
  <c r="P201" i="1" s="1"/>
  <c r="J201" i="4"/>
  <c r="Q201" i="1" s="1"/>
  <c r="K201" i="4"/>
  <c r="R201" i="1" s="1"/>
  <c r="P201" i="4"/>
  <c r="W201" i="1" s="1"/>
  <c r="Q201" i="4"/>
  <c r="X201" i="1" s="1"/>
  <c r="R201" i="4"/>
  <c r="Y201" i="1" s="1"/>
  <c r="S201" i="4"/>
  <c r="Z201" i="1" s="1"/>
  <c r="T201" i="4"/>
  <c r="AA201" i="1" s="1"/>
  <c r="F202" i="4"/>
  <c r="H202" i="4"/>
  <c r="O202" i="1" s="1"/>
  <c r="I202" i="4"/>
  <c r="P202" i="1" s="1"/>
  <c r="J202" i="4"/>
  <c r="Q202" i="1" s="1"/>
  <c r="K202" i="4"/>
  <c r="R202" i="1" s="1"/>
  <c r="P202" i="4"/>
  <c r="W202" i="1" s="1"/>
  <c r="Q202" i="4"/>
  <c r="X202" i="1" s="1"/>
  <c r="R202" i="4"/>
  <c r="Y202" i="1" s="1"/>
  <c r="S202" i="4"/>
  <c r="Z202" i="1" s="1"/>
  <c r="T202" i="4"/>
  <c r="AA202" i="1" s="1"/>
  <c r="F203" i="4"/>
  <c r="H203" i="4"/>
  <c r="O203" i="1" s="1"/>
  <c r="I203" i="4"/>
  <c r="P203" i="1" s="1"/>
  <c r="J203" i="4"/>
  <c r="Q203" i="1" s="1"/>
  <c r="K203" i="4"/>
  <c r="R203" i="1" s="1"/>
  <c r="P203" i="4"/>
  <c r="W203" i="1" s="1"/>
  <c r="Q203" i="4"/>
  <c r="X203" i="1" s="1"/>
  <c r="R203" i="4"/>
  <c r="Y203" i="1" s="1"/>
  <c r="S203" i="4"/>
  <c r="Z203" i="1" s="1"/>
  <c r="T203" i="4"/>
  <c r="AA203" i="1" s="1"/>
  <c r="F204" i="4"/>
  <c r="H204" i="4"/>
  <c r="O204" i="1" s="1"/>
  <c r="I204" i="4"/>
  <c r="P204" i="1" s="1"/>
  <c r="J204" i="4"/>
  <c r="Q204" i="1" s="1"/>
  <c r="K204" i="4"/>
  <c r="R204" i="1" s="1"/>
  <c r="P204" i="4"/>
  <c r="W204" i="1" s="1"/>
  <c r="Q204" i="4"/>
  <c r="X204" i="1" s="1"/>
  <c r="R204" i="4"/>
  <c r="Y204" i="1" s="1"/>
  <c r="S204" i="4"/>
  <c r="Z204" i="1" s="1"/>
  <c r="T204" i="4"/>
  <c r="AA204" i="1" s="1"/>
  <c r="F205" i="4"/>
  <c r="H205" i="4"/>
  <c r="O205" i="1" s="1"/>
  <c r="I205" i="4"/>
  <c r="P205" i="1" s="1"/>
  <c r="J205" i="4"/>
  <c r="Q205" i="1" s="1"/>
  <c r="K205" i="4"/>
  <c r="R205" i="1" s="1"/>
  <c r="P205" i="4"/>
  <c r="W205" i="1" s="1"/>
  <c r="Q205" i="4"/>
  <c r="X205" i="1" s="1"/>
  <c r="R205" i="4"/>
  <c r="Y205" i="1" s="1"/>
  <c r="S205" i="4"/>
  <c r="Z205" i="1" s="1"/>
  <c r="T205" i="4"/>
  <c r="AA205" i="1" s="1"/>
  <c r="F206" i="4"/>
  <c r="H206" i="4"/>
  <c r="O206" i="1" s="1"/>
  <c r="I206" i="4"/>
  <c r="P206" i="1" s="1"/>
  <c r="J206" i="4"/>
  <c r="Q206" i="1" s="1"/>
  <c r="K206" i="4"/>
  <c r="R206" i="1" s="1"/>
  <c r="P206" i="4"/>
  <c r="W206" i="1" s="1"/>
  <c r="Q206" i="4"/>
  <c r="X206" i="1" s="1"/>
  <c r="R206" i="4"/>
  <c r="Y206" i="1" s="1"/>
  <c r="S206" i="4"/>
  <c r="Z206" i="1" s="1"/>
  <c r="T206" i="4"/>
  <c r="AA206" i="1" s="1"/>
  <c r="F207" i="4"/>
  <c r="H207" i="4"/>
  <c r="O207" i="1" s="1"/>
  <c r="I207" i="4"/>
  <c r="P207" i="1" s="1"/>
  <c r="J207" i="4"/>
  <c r="Q207" i="1" s="1"/>
  <c r="K207" i="4"/>
  <c r="R207" i="1" s="1"/>
  <c r="P207" i="4"/>
  <c r="W207" i="1" s="1"/>
  <c r="Q207" i="4"/>
  <c r="X207" i="1" s="1"/>
  <c r="R207" i="4"/>
  <c r="Y207" i="1" s="1"/>
  <c r="S207" i="4"/>
  <c r="Z207" i="1" s="1"/>
  <c r="T207" i="4"/>
  <c r="AA207" i="1" s="1"/>
  <c r="F208" i="4"/>
  <c r="H208" i="4"/>
  <c r="O208" i="1" s="1"/>
  <c r="I208" i="4"/>
  <c r="P208" i="1" s="1"/>
  <c r="J208" i="4"/>
  <c r="Q208" i="1" s="1"/>
  <c r="K208" i="4"/>
  <c r="R208" i="1" s="1"/>
  <c r="P208" i="4"/>
  <c r="W208" i="1" s="1"/>
  <c r="Q208" i="4"/>
  <c r="X208" i="1" s="1"/>
  <c r="R208" i="4"/>
  <c r="Y208" i="1" s="1"/>
  <c r="S208" i="4"/>
  <c r="Z208" i="1" s="1"/>
  <c r="T208" i="4"/>
  <c r="AA208" i="1" s="1"/>
  <c r="F209" i="4"/>
  <c r="H209" i="4"/>
  <c r="O209" i="1" s="1"/>
  <c r="I209" i="4"/>
  <c r="P209" i="1" s="1"/>
  <c r="J209" i="4"/>
  <c r="Q209" i="1" s="1"/>
  <c r="K209" i="4"/>
  <c r="R209" i="1" s="1"/>
  <c r="P209" i="4"/>
  <c r="W209" i="1" s="1"/>
  <c r="Q209" i="4"/>
  <c r="X209" i="1" s="1"/>
  <c r="R209" i="4"/>
  <c r="Y209" i="1" s="1"/>
  <c r="S209" i="4"/>
  <c r="Z209" i="1" s="1"/>
  <c r="T209" i="4"/>
  <c r="AA209" i="1" s="1"/>
  <c r="F210" i="4"/>
  <c r="H210" i="4"/>
  <c r="O210" i="1" s="1"/>
  <c r="I210" i="4"/>
  <c r="P210" i="1" s="1"/>
  <c r="J210" i="4"/>
  <c r="Q210" i="1" s="1"/>
  <c r="K210" i="4"/>
  <c r="R210" i="1" s="1"/>
  <c r="P210" i="4"/>
  <c r="W210" i="1" s="1"/>
  <c r="Q210" i="4"/>
  <c r="X210" i="1" s="1"/>
  <c r="R210" i="4"/>
  <c r="Y210" i="1" s="1"/>
  <c r="S210" i="4"/>
  <c r="Z210" i="1" s="1"/>
  <c r="T210" i="4"/>
  <c r="AA210" i="1" s="1"/>
  <c r="F211" i="4"/>
  <c r="H211" i="4"/>
  <c r="O211" i="1" s="1"/>
  <c r="I211" i="4"/>
  <c r="P211" i="1" s="1"/>
  <c r="J211" i="4"/>
  <c r="Q211" i="1" s="1"/>
  <c r="K211" i="4"/>
  <c r="R211" i="1" s="1"/>
  <c r="P211" i="4"/>
  <c r="W211" i="1" s="1"/>
  <c r="Q211" i="4"/>
  <c r="X211" i="1" s="1"/>
  <c r="R211" i="4"/>
  <c r="Y211" i="1" s="1"/>
  <c r="S211" i="4"/>
  <c r="Z211" i="1" s="1"/>
  <c r="T211" i="4"/>
  <c r="AA211" i="1" s="1"/>
  <c r="F212" i="4"/>
  <c r="H212" i="4"/>
  <c r="O212" i="1" s="1"/>
  <c r="I212" i="4"/>
  <c r="P212" i="1" s="1"/>
  <c r="J212" i="4"/>
  <c r="Q212" i="1" s="1"/>
  <c r="K212" i="4"/>
  <c r="R212" i="1" s="1"/>
  <c r="P212" i="4"/>
  <c r="W212" i="1" s="1"/>
  <c r="Q212" i="4"/>
  <c r="X212" i="1" s="1"/>
  <c r="R212" i="4"/>
  <c r="Y212" i="1" s="1"/>
  <c r="S212" i="4"/>
  <c r="Z212" i="1" s="1"/>
  <c r="T212" i="4"/>
  <c r="AA212" i="1" s="1"/>
  <c r="F213" i="4"/>
  <c r="H213" i="4"/>
  <c r="O213" i="1" s="1"/>
  <c r="I213" i="4"/>
  <c r="P213" i="1" s="1"/>
  <c r="J213" i="4"/>
  <c r="Q213" i="1" s="1"/>
  <c r="K213" i="4"/>
  <c r="R213" i="1" s="1"/>
  <c r="P213" i="4"/>
  <c r="W213" i="1" s="1"/>
  <c r="Q213" i="4"/>
  <c r="X213" i="1" s="1"/>
  <c r="R213" i="4"/>
  <c r="Y213" i="1" s="1"/>
  <c r="S213" i="4"/>
  <c r="Z213" i="1" s="1"/>
  <c r="T213" i="4"/>
  <c r="AA213" i="1" s="1"/>
  <c r="F214" i="4"/>
  <c r="H214" i="4"/>
  <c r="O214" i="1" s="1"/>
  <c r="I214" i="4"/>
  <c r="P214" i="1" s="1"/>
  <c r="J214" i="4"/>
  <c r="Q214" i="1" s="1"/>
  <c r="K214" i="4"/>
  <c r="R214" i="1" s="1"/>
  <c r="P214" i="4"/>
  <c r="W214" i="1" s="1"/>
  <c r="Q214" i="4"/>
  <c r="X214" i="1" s="1"/>
  <c r="R214" i="4"/>
  <c r="Y214" i="1" s="1"/>
  <c r="S214" i="4"/>
  <c r="Z214" i="1" s="1"/>
  <c r="T214" i="4"/>
  <c r="AA214" i="1" s="1"/>
  <c r="F215" i="4"/>
  <c r="H215" i="4"/>
  <c r="O215" i="1" s="1"/>
  <c r="I215" i="4"/>
  <c r="P215" i="1" s="1"/>
  <c r="J215" i="4"/>
  <c r="Q215" i="1" s="1"/>
  <c r="K215" i="4"/>
  <c r="R215" i="1" s="1"/>
  <c r="P215" i="4"/>
  <c r="W215" i="1" s="1"/>
  <c r="Q215" i="4"/>
  <c r="X215" i="1" s="1"/>
  <c r="R215" i="4"/>
  <c r="Y215" i="1" s="1"/>
  <c r="S215" i="4"/>
  <c r="Z215" i="1" s="1"/>
  <c r="T215" i="4"/>
  <c r="AA215" i="1" s="1"/>
  <c r="F216" i="4"/>
  <c r="H216" i="4"/>
  <c r="O216" i="1" s="1"/>
  <c r="I216" i="4"/>
  <c r="P216" i="1" s="1"/>
  <c r="J216" i="4"/>
  <c r="Q216" i="1" s="1"/>
  <c r="K216" i="4"/>
  <c r="R216" i="1" s="1"/>
  <c r="P216" i="4"/>
  <c r="W216" i="1" s="1"/>
  <c r="Q216" i="4"/>
  <c r="X216" i="1" s="1"/>
  <c r="R216" i="4"/>
  <c r="Y216" i="1" s="1"/>
  <c r="S216" i="4"/>
  <c r="Z216" i="1" s="1"/>
  <c r="T216" i="4"/>
  <c r="AA216" i="1" s="1"/>
  <c r="F217" i="4"/>
  <c r="H217" i="4"/>
  <c r="O217" i="1" s="1"/>
  <c r="I217" i="4"/>
  <c r="P217" i="1" s="1"/>
  <c r="J217" i="4"/>
  <c r="Q217" i="1" s="1"/>
  <c r="K217" i="4"/>
  <c r="R217" i="1" s="1"/>
  <c r="P217" i="4"/>
  <c r="W217" i="1" s="1"/>
  <c r="Q217" i="4"/>
  <c r="X217" i="1" s="1"/>
  <c r="R217" i="4"/>
  <c r="Y217" i="1" s="1"/>
  <c r="S217" i="4"/>
  <c r="Z217" i="1" s="1"/>
  <c r="T217" i="4"/>
  <c r="AA217" i="1" s="1"/>
  <c r="F218" i="4"/>
  <c r="H218" i="4"/>
  <c r="O218" i="1" s="1"/>
  <c r="I218" i="4"/>
  <c r="P218" i="1" s="1"/>
  <c r="J218" i="4"/>
  <c r="Q218" i="1" s="1"/>
  <c r="K218" i="4"/>
  <c r="R218" i="1" s="1"/>
  <c r="P218" i="4"/>
  <c r="W218" i="1" s="1"/>
  <c r="Q218" i="4"/>
  <c r="X218" i="1" s="1"/>
  <c r="R218" i="4"/>
  <c r="Y218" i="1" s="1"/>
  <c r="S218" i="4"/>
  <c r="Z218" i="1" s="1"/>
  <c r="T218" i="4"/>
  <c r="AA218" i="1" s="1"/>
  <c r="F219" i="4"/>
  <c r="H219" i="4"/>
  <c r="O219" i="1" s="1"/>
  <c r="I219" i="4"/>
  <c r="P219" i="1" s="1"/>
  <c r="J219" i="4"/>
  <c r="Q219" i="1" s="1"/>
  <c r="K219" i="4"/>
  <c r="R219" i="1" s="1"/>
  <c r="P219" i="4"/>
  <c r="W219" i="1" s="1"/>
  <c r="Q219" i="4"/>
  <c r="X219" i="1" s="1"/>
  <c r="R219" i="4"/>
  <c r="Y219" i="1" s="1"/>
  <c r="S219" i="4"/>
  <c r="Z219" i="1" s="1"/>
  <c r="T219" i="4"/>
  <c r="AA219" i="1" s="1"/>
  <c r="F220" i="4"/>
  <c r="H220" i="4"/>
  <c r="O220" i="1" s="1"/>
  <c r="I220" i="4"/>
  <c r="P220" i="1" s="1"/>
  <c r="J220" i="4"/>
  <c r="Q220" i="1" s="1"/>
  <c r="K220" i="4"/>
  <c r="R220" i="1" s="1"/>
  <c r="P220" i="4"/>
  <c r="W220" i="1" s="1"/>
  <c r="Q220" i="4"/>
  <c r="X220" i="1" s="1"/>
  <c r="R220" i="4"/>
  <c r="Y220" i="1" s="1"/>
  <c r="S220" i="4"/>
  <c r="Z220" i="1" s="1"/>
  <c r="T220" i="4"/>
  <c r="AA220" i="1" s="1"/>
  <c r="F176" i="4"/>
  <c r="H176" i="4"/>
  <c r="O176" i="1" s="1"/>
  <c r="I176" i="4"/>
  <c r="P176" i="1" s="1"/>
  <c r="R176" i="4"/>
  <c r="Y176" i="1" s="1"/>
  <c r="S176" i="4"/>
  <c r="Z176" i="1" s="1"/>
  <c r="T176" i="4"/>
  <c r="AA176" i="1" s="1"/>
  <c r="Q176" i="4"/>
  <c r="X176" i="1" s="1"/>
  <c r="P176" i="4"/>
  <c r="W176" i="1" s="1"/>
  <c r="K176" i="4"/>
  <c r="R176" i="1" s="1"/>
  <c r="J176" i="4"/>
  <c r="Q176" i="1" s="1"/>
  <c r="D177" i="4"/>
  <c r="K177" i="1" s="1"/>
  <c r="M177" i="1" s="1"/>
  <c r="E177" i="4"/>
  <c r="L177" i="1" s="1"/>
  <c r="N177" i="1" s="1"/>
  <c r="D178" i="4"/>
  <c r="K178" i="1" s="1"/>
  <c r="M178" i="1" s="1"/>
  <c r="E178" i="4"/>
  <c r="L178" i="1" s="1"/>
  <c r="N178" i="1" s="1"/>
  <c r="D179" i="4"/>
  <c r="K179" i="1" s="1"/>
  <c r="M179" i="1" s="1"/>
  <c r="E179" i="4"/>
  <c r="L179" i="1" s="1"/>
  <c r="N179" i="1" s="1"/>
  <c r="D180" i="4"/>
  <c r="K180" i="1" s="1"/>
  <c r="M180" i="1" s="1"/>
  <c r="E180" i="4"/>
  <c r="L180" i="1" s="1"/>
  <c r="N180" i="1" s="1"/>
  <c r="D181" i="4"/>
  <c r="K181" i="1" s="1"/>
  <c r="M181" i="1" s="1"/>
  <c r="E181" i="4"/>
  <c r="L181" i="1" s="1"/>
  <c r="N181" i="1" s="1"/>
  <c r="D182" i="4"/>
  <c r="K182" i="1" s="1"/>
  <c r="M182" i="1" s="1"/>
  <c r="E182" i="4"/>
  <c r="L182" i="1" s="1"/>
  <c r="N182" i="1" s="1"/>
  <c r="D183" i="4"/>
  <c r="K183" i="1" s="1"/>
  <c r="M183" i="1" s="1"/>
  <c r="E183" i="4"/>
  <c r="L183" i="1" s="1"/>
  <c r="N183" i="1" s="1"/>
  <c r="D184" i="4"/>
  <c r="K184" i="1" s="1"/>
  <c r="M184" i="1" s="1"/>
  <c r="E184" i="4"/>
  <c r="L184" i="1" s="1"/>
  <c r="N184" i="1" s="1"/>
  <c r="D185" i="4"/>
  <c r="K185" i="1" s="1"/>
  <c r="M185" i="1" s="1"/>
  <c r="E185" i="4"/>
  <c r="L185" i="1" s="1"/>
  <c r="N185" i="1" s="1"/>
  <c r="D186" i="4"/>
  <c r="K186" i="1" s="1"/>
  <c r="M186" i="1" s="1"/>
  <c r="E186" i="4"/>
  <c r="L186" i="1" s="1"/>
  <c r="N186" i="1" s="1"/>
  <c r="D187" i="4"/>
  <c r="K187" i="1" s="1"/>
  <c r="M187" i="1" s="1"/>
  <c r="E187" i="4"/>
  <c r="L187" i="1" s="1"/>
  <c r="N187" i="1" s="1"/>
  <c r="D188" i="4"/>
  <c r="K188" i="1" s="1"/>
  <c r="M188" i="1" s="1"/>
  <c r="E188" i="4"/>
  <c r="L188" i="1" s="1"/>
  <c r="N188" i="1" s="1"/>
  <c r="D189" i="4"/>
  <c r="K189" i="1" s="1"/>
  <c r="M189" i="1" s="1"/>
  <c r="E189" i="4"/>
  <c r="L189" i="1" s="1"/>
  <c r="N189" i="1" s="1"/>
  <c r="D190" i="4"/>
  <c r="K190" i="1" s="1"/>
  <c r="M190" i="1" s="1"/>
  <c r="E190" i="4"/>
  <c r="L190" i="1" s="1"/>
  <c r="N190" i="1" s="1"/>
  <c r="D191" i="4"/>
  <c r="K191" i="1" s="1"/>
  <c r="M191" i="1" s="1"/>
  <c r="E191" i="4"/>
  <c r="L191" i="1" s="1"/>
  <c r="N191" i="1" s="1"/>
  <c r="D192" i="4"/>
  <c r="K192" i="1" s="1"/>
  <c r="M192" i="1" s="1"/>
  <c r="E192" i="4"/>
  <c r="L192" i="1" s="1"/>
  <c r="N192" i="1" s="1"/>
  <c r="D193" i="4"/>
  <c r="K193" i="1" s="1"/>
  <c r="M193" i="1" s="1"/>
  <c r="E193" i="4"/>
  <c r="L193" i="1" s="1"/>
  <c r="N193" i="1" s="1"/>
  <c r="D194" i="4"/>
  <c r="K194" i="1" s="1"/>
  <c r="M194" i="1" s="1"/>
  <c r="E194" i="4"/>
  <c r="L194" i="1" s="1"/>
  <c r="N194" i="1" s="1"/>
  <c r="D195" i="4"/>
  <c r="K195" i="1" s="1"/>
  <c r="M195" i="1" s="1"/>
  <c r="E195" i="4"/>
  <c r="L195" i="1" s="1"/>
  <c r="N195" i="1" s="1"/>
  <c r="D196" i="4"/>
  <c r="K196" i="1" s="1"/>
  <c r="M196" i="1" s="1"/>
  <c r="E196" i="4"/>
  <c r="L196" i="1" s="1"/>
  <c r="N196" i="1" s="1"/>
  <c r="D197" i="4"/>
  <c r="K197" i="1" s="1"/>
  <c r="M197" i="1" s="1"/>
  <c r="E197" i="4"/>
  <c r="L197" i="1" s="1"/>
  <c r="N197" i="1" s="1"/>
  <c r="D198" i="4"/>
  <c r="K198" i="1" s="1"/>
  <c r="M198" i="1" s="1"/>
  <c r="E198" i="4"/>
  <c r="L198" i="1" s="1"/>
  <c r="N198" i="1" s="1"/>
  <c r="D199" i="4"/>
  <c r="K199" i="1" s="1"/>
  <c r="M199" i="1" s="1"/>
  <c r="E199" i="4"/>
  <c r="L199" i="1" s="1"/>
  <c r="N199" i="1" s="1"/>
  <c r="D200" i="4"/>
  <c r="K200" i="1" s="1"/>
  <c r="M200" i="1" s="1"/>
  <c r="E200" i="4"/>
  <c r="L200" i="1" s="1"/>
  <c r="N200" i="1" s="1"/>
  <c r="D201" i="4"/>
  <c r="K201" i="1" s="1"/>
  <c r="M201" i="1" s="1"/>
  <c r="E201" i="4"/>
  <c r="L201" i="1" s="1"/>
  <c r="N201" i="1" s="1"/>
  <c r="D202" i="4"/>
  <c r="K202" i="1" s="1"/>
  <c r="M202" i="1" s="1"/>
  <c r="E202" i="4"/>
  <c r="L202" i="1" s="1"/>
  <c r="N202" i="1" s="1"/>
  <c r="D203" i="4"/>
  <c r="K203" i="1" s="1"/>
  <c r="M203" i="1" s="1"/>
  <c r="E203" i="4"/>
  <c r="L203" i="1" s="1"/>
  <c r="N203" i="1" s="1"/>
  <c r="D204" i="4"/>
  <c r="K204" i="1" s="1"/>
  <c r="M204" i="1" s="1"/>
  <c r="E204" i="4"/>
  <c r="L204" i="1" s="1"/>
  <c r="N204" i="1" s="1"/>
  <c r="D205" i="4"/>
  <c r="K205" i="1" s="1"/>
  <c r="M205" i="1" s="1"/>
  <c r="E205" i="4"/>
  <c r="L205" i="1" s="1"/>
  <c r="N205" i="1" s="1"/>
  <c r="D206" i="4"/>
  <c r="K206" i="1" s="1"/>
  <c r="M206" i="1" s="1"/>
  <c r="E206" i="4"/>
  <c r="L206" i="1" s="1"/>
  <c r="N206" i="1" s="1"/>
  <c r="D207" i="4"/>
  <c r="K207" i="1" s="1"/>
  <c r="M207" i="1" s="1"/>
  <c r="E207" i="4"/>
  <c r="L207" i="1" s="1"/>
  <c r="N207" i="1" s="1"/>
  <c r="D208" i="4"/>
  <c r="K208" i="1" s="1"/>
  <c r="M208" i="1" s="1"/>
  <c r="E208" i="4"/>
  <c r="L208" i="1" s="1"/>
  <c r="N208" i="1" s="1"/>
  <c r="D209" i="4"/>
  <c r="K209" i="1" s="1"/>
  <c r="M209" i="1" s="1"/>
  <c r="E209" i="4"/>
  <c r="L209" i="1" s="1"/>
  <c r="N209" i="1" s="1"/>
  <c r="D210" i="4"/>
  <c r="K210" i="1" s="1"/>
  <c r="M210" i="1" s="1"/>
  <c r="E210" i="4"/>
  <c r="L210" i="1" s="1"/>
  <c r="N210" i="1" s="1"/>
  <c r="D211" i="4"/>
  <c r="K211" i="1" s="1"/>
  <c r="M211" i="1" s="1"/>
  <c r="E211" i="4"/>
  <c r="L211" i="1" s="1"/>
  <c r="N211" i="1" s="1"/>
  <c r="D212" i="4"/>
  <c r="K212" i="1" s="1"/>
  <c r="M212" i="1" s="1"/>
  <c r="E212" i="4"/>
  <c r="L212" i="1" s="1"/>
  <c r="N212" i="1" s="1"/>
  <c r="D213" i="4"/>
  <c r="K213" i="1" s="1"/>
  <c r="M213" i="1" s="1"/>
  <c r="E213" i="4"/>
  <c r="L213" i="1" s="1"/>
  <c r="N213" i="1" s="1"/>
  <c r="D214" i="4"/>
  <c r="K214" i="1" s="1"/>
  <c r="M214" i="1" s="1"/>
  <c r="E214" i="4"/>
  <c r="L214" i="1" s="1"/>
  <c r="N214" i="1" s="1"/>
  <c r="D215" i="4"/>
  <c r="K215" i="1" s="1"/>
  <c r="M215" i="1" s="1"/>
  <c r="E215" i="4"/>
  <c r="L215" i="1" s="1"/>
  <c r="N215" i="1" s="1"/>
  <c r="D216" i="4"/>
  <c r="K216" i="1" s="1"/>
  <c r="M216" i="1" s="1"/>
  <c r="E216" i="4"/>
  <c r="L216" i="1" s="1"/>
  <c r="N216" i="1" s="1"/>
  <c r="D217" i="4"/>
  <c r="K217" i="1" s="1"/>
  <c r="M217" i="1" s="1"/>
  <c r="E217" i="4"/>
  <c r="L217" i="1" s="1"/>
  <c r="N217" i="1" s="1"/>
  <c r="D218" i="4"/>
  <c r="K218" i="1" s="1"/>
  <c r="M218" i="1" s="1"/>
  <c r="E218" i="4"/>
  <c r="L218" i="1" s="1"/>
  <c r="N218" i="1" s="1"/>
  <c r="D219" i="4"/>
  <c r="K219" i="1" s="1"/>
  <c r="M219" i="1" s="1"/>
  <c r="E219" i="4"/>
  <c r="L219" i="1" s="1"/>
  <c r="N219" i="1" s="1"/>
  <c r="D220" i="4"/>
  <c r="K220" i="1" s="1"/>
  <c r="M220" i="1" s="1"/>
  <c r="E220" i="4"/>
  <c r="L220" i="1" s="1"/>
  <c r="N220" i="1" s="1"/>
  <c r="E176" i="4"/>
  <c r="L176" i="1" s="1"/>
  <c r="N176" i="1" s="1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176" i="4"/>
  <c r="I375" i="1" l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N392" i="1" l="1"/>
  <c r="M392" i="1"/>
  <c r="A392" i="1"/>
  <c r="N391" i="1"/>
  <c r="M391" i="1"/>
  <c r="A391" i="1"/>
  <c r="M288" i="1"/>
  <c r="N288" i="1"/>
  <c r="M297" i="1"/>
  <c r="N297" i="1"/>
  <c r="M309" i="1"/>
  <c r="N309" i="1"/>
  <c r="M310" i="1"/>
  <c r="N310" i="1"/>
  <c r="M311" i="1"/>
  <c r="N311" i="1"/>
  <c r="M312" i="1"/>
  <c r="N312" i="1"/>
  <c r="M313" i="1"/>
  <c r="N313" i="1"/>
  <c r="M314" i="1"/>
  <c r="N314" i="1"/>
  <c r="M315" i="1"/>
  <c r="N315" i="1"/>
  <c r="M316" i="1"/>
  <c r="N316" i="1"/>
  <c r="M317" i="1"/>
  <c r="N317" i="1"/>
  <c r="M318" i="1"/>
  <c r="N318" i="1"/>
  <c r="M319" i="1"/>
  <c r="N319" i="1"/>
  <c r="M320" i="1"/>
  <c r="N320" i="1"/>
  <c r="M321" i="1"/>
  <c r="N321" i="1"/>
  <c r="M322" i="1"/>
  <c r="N322" i="1"/>
  <c r="M323" i="1"/>
  <c r="N323" i="1"/>
  <c r="M324" i="1"/>
  <c r="N324" i="1"/>
  <c r="M325" i="1"/>
  <c r="N325" i="1"/>
  <c r="M326" i="1"/>
  <c r="N326" i="1"/>
  <c r="M327" i="1"/>
  <c r="N327" i="1"/>
  <c r="M328" i="1"/>
  <c r="N328" i="1"/>
  <c r="M329" i="1"/>
  <c r="N329" i="1"/>
  <c r="M330" i="1"/>
  <c r="N330" i="1"/>
  <c r="M331" i="1"/>
  <c r="N331" i="1"/>
  <c r="M332" i="1"/>
  <c r="N332" i="1"/>
  <c r="M334" i="1"/>
  <c r="N334" i="1"/>
  <c r="M335" i="1"/>
  <c r="N335" i="1"/>
  <c r="M336" i="1"/>
  <c r="N336" i="1"/>
  <c r="M337" i="1"/>
  <c r="N337" i="1"/>
  <c r="M338" i="1"/>
  <c r="N338" i="1"/>
  <c r="M341" i="1"/>
  <c r="N341" i="1"/>
  <c r="M342" i="1"/>
  <c r="N342" i="1"/>
  <c r="M343" i="1"/>
  <c r="N343" i="1"/>
  <c r="M344" i="1"/>
  <c r="N344" i="1"/>
  <c r="M345" i="1"/>
  <c r="N345" i="1"/>
  <c r="M347" i="1"/>
  <c r="N347" i="1"/>
  <c r="M348" i="1"/>
  <c r="N348" i="1"/>
  <c r="M349" i="1"/>
  <c r="N349" i="1"/>
  <c r="M350" i="1"/>
  <c r="N350" i="1"/>
  <c r="M351" i="1"/>
  <c r="N351" i="1"/>
  <c r="M352" i="1"/>
  <c r="N352" i="1"/>
  <c r="M353" i="1"/>
  <c r="N353" i="1"/>
  <c r="M354" i="1"/>
  <c r="N354" i="1"/>
  <c r="M355" i="1"/>
  <c r="N355" i="1"/>
  <c r="M375" i="1"/>
  <c r="N375" i="1"/>
  <c r="M376" i="1"/>
  <c r="N376" i="1"/>
  <c r="M377" i="1"/>
  <c r="N377" i="1"/>
  <c r="M378" i="1"/>
  <c r="N378" i="1"/>
  <c r="M379" i="1"/>
  <c r="N379" i="1"/>
  <c r="M380" i="1"/>
  <c r="N380" i="1"/>
  <c r="M381" i="1"/>
  <c r="N381" i="1"/>
  <c r="M382" i="1"/>
  <c r="N382" i="1"/>
  <c r="M383" i="1"/>
  <c r="N383" i="1"/>
  <c r="M384" i="1"/>
  <c r="N384" i="1"/>
  <c r="M385" i="1"/>
  <c r="N385" i="1"/>
  <c r="M386" i="1"/>
  <c r="N386" i="1"/>
  <c r="M387" i="1"/>
  <c r="N387" i="1"/>
  <c r="M388" i="1"/>
  <c r="N388" i="1"/>
  <c r="M389" i="1"/>
  <c r="N389" i="1"/>
  <c r="M390" i="1"/>
  <c r="N390" i="1"/>
  <c r="M395" i="1"/>
  <c r="N395" i="1"/>
  <c r="M428" i="1"/>
  <c r="N428" i="1"/>
  <c r="M429" i="1"/>
  <c r="N429" i="1"/>
  <c r="M430" i="1"/>
  <c r="N430" i="1"/>
  <c r="M431" i="1"/>
  <c r="N431" i="1"/>
  <c r="M432" i="1"/>
  <c r="N432" i="1"/>
  <c r="M433" i="1"/>
  <c r="N433" i="1"/>
  <c r="M434" i="1"/>
  <c r="N434" i="1"/>
  <c r="M435" i="1"/>
  <c r="N435" i="1"/>
  <c r="M436" i="1"/>
  <c r="N436" i="1"/>
  <c r="M437" i="1"/>
  <c r="N437" i="1"/>
  <c r="M438" i="1"/>
  <c r="N438" i="1"/>
  <c r="M439" i="1"/>
  <c r="N439" i="1"/>
  <c r="M440" i="1"/>
  <c r="N440" i="1"/>
  <c r="M441" i="1"/>
  <c r="N441" i="1"/>
  <c r="M442" i="1"/>
  <c r="N442" i="1"/>
  <c r="M443" i="1"/>
  <c r="N443" i="1"/>
  <c r="M444" i="1"/>
  <c r="N444" i="1"/>
  <c r="M445" i="1"/>
  <c r="N445" i="1"/>
  <c r="M446" i="1"/>
  <c r="N446" i="1"/>
  <c r="M447" i="1"/>
  <c r="N447" i="1"/>
  <c r="M448" i="1"/>
  <c r="N448" i="1"/>
  <c r="M449" i="1"/>
  <c r="N449" i="1"/>
  <c r="M450" i="1"/>
  <c r="N450" i="1"/>
  <c r="M451" i="1"/>
  <c r="N451" i="1"/>
  <c r="N108" i="4" l="1"/>
  <c r="N103" i="4"/>
  <c r="N104" i="4"/>
  <c r="N105" i="4"/>
  <c r="N106" i="4"/>
  <c r="N102" i="4"/>
  <c r="N89" i="4"/>
  <c r="N90" i="4"/>
  <c r="N91" i="4"/>
  <c r="N92" i="4"/>
  <c r="N93" i="4"/>
  <c r="N94" i="4"/>
  <c r="N95" i="4"/>
  <c r="N96" i="4"/>
  <c r="N97" i="4"/>
  <c r="N88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98" i="4"/>
  <c r="N99" i="4"/>
  <c r="N100" i="4"/>
  <c r="N101" i="4"/>
  <c r="N107" i="4"/>
  <c r="N64" i="4"/>
  <c r="D65" i="4"/>
  <c r="E65" i="4"/>
  <c r="D66" i="4"/>
  <c r="E66" i="4"/>
  <c r="D67" i="4"/>
  <c r="E67" i="4"/>
  <c r="D68" i="4"/>
  <c r="E68" i="4"/>
  <c r="D69" i="4"/>
  <c r="E69" i="4"/>
  <c r="D70" i="4"/>
  <c r="E70" i="4"/>
  <c r="D71" i="4"/>
  <c r="E71" i="4"/>
  <c r="D72" i="4"/>
  <c r="E72" i="4"/>
  <c r="D73" i="4"/>
  <c r="E73" i="4"/>
  <c r="D74" i="4"/>
  <c r="E74" i="4"/>
  <c r="D75" i="4"/>
  <c r="E75" i="4"/>
  <c r="D76" i="4"/>
  <c r="E76" i="4"/>
  <c r="D77" i="4"/>
  <c r="E77" i="4"/>
  <c r="D78" i="4"/>
  <c r="E78" i="4"/>
  <c r="D79" i="4"/>
  <c r="E79" i="4"/>
  <c r="D80" i="4"/>
  <c r="E80" i="4"/>
  <c r="D81" i="4"/>
  <c r="E81" i="4"/>
  <c r="D82" i="4"/>
  <c r="E82" i="4"/>
  <c r="D83" i="4"/>
  <c r="E83" i="4"/>
  <c r="D84" i="4"/>
  <c r="E84" i="4"/>
  <c r="D85" i="4"/>
  <c r="E85" i="4"/>
  <c r="D86" i="4"/>
  <c r="E86" i="4"/>
  <c r="D87" i="4"/>
  <c r="E87" i="4"/>
  <c r="D88" i="4"/>
  <c r="E88" i="4"/>
  <c r="D89" i="4"/>
  <c r="E89" i="4"/>
  <c r="D90" i="4"/>
  <c r="E90" i="4"/>
  <c r="D91" i="4"/>
  <c r="E91" i="4"/>
  <c r="D92" i="4"/>
  <c r="E92" i="4"/>
  <c r="D93" i="4"/>
  <c r="E93" i="4"/>
  <c r="D94" i="4"/>
  <c r="E94" i="4"/>
  <c r="D95" i="4"/>
  <c r="E95" i="4"/>
  <c r="D96" i="4"/>
  <c r="E96" i="4"/>
  <c r="D97" i="4"/>
  <c r="E97" i="4"/>
  <c r="D98" i="4"/>
  <c r="E98" i="4"/>
  <c r="D99" i="4"/>
  <c r="E99" i="4"/>
  <c r="D100" i="4"/>
  <c r="E100" i="4"/>
  <c r="D101" i="4"/>
  <c r="E101" i="4"/>
  <c r="D102" i="4"/>
  <c r="E102" i="4"/>
  <c r="D103" i="4"/>
  <c r="E103" i="4"/>
  <c r="D104" i="4"/>
  <c r="E104" i="4"/>
  <c r="D105" i="4"/>
  <c r="E105" i="4"/>
  <c r="D106" i="4"/>
  <c r="E106" i="4"/>
  <c r="D107" i="4"/>
  <c r="E107" i="4"/>
  <c r="D108" i="4"/>
  <c r="E108" i="4"/>
  <c r="E64" i="4"/>
  <c r="A297" i="1" l="1"/>
  <c r="K411" i="1" l="1"/>
  <c r="M411" i="1" s="1"/>
  <c r="L411" i="1"/>
  <c r="N411" i="1" s="1"/>
  <c r="K412" i="1"/>
  <c r="M412" i="1" s="1"/>
  <c r="L412" i="1"/>
  <c r="N412" i="1" s="1"/>
  <c r="K413" i="1"/>
  <c r="M413" i="1" s="1"/>
  <c r="L413" i="1"/>
  <c r="N413" i="1" s="1"/>
  <c r="K414" i="1"/>
  <c r="M414" i="1" s="1"/>
  <c r="L414" i="1"/>
  <c r="N414" i="1" s="1"/>
  <c r="K415" i="1"/>
  <c r="M415" i="1" s="1"/>
  <c r="L415" i="1"/>
  <c r="N415" i="1" s="1"/>
  <c r="L410" i="1"/>
  <c r="N410" i="1" s="1"/>
  <c r="K410" i="1"/>
  <c r="M410" i="1" s="1"/>
  <c r="K417" i="1"/>
  <c r="M417" i="1" s="1"/>
  <c r="L417" i="1"/>
  <c r="N417" i="1" s="1"/>
  <c r="K418" i="1"/>
  <c r="M418" i="1" s="1"/>
  <c r="L418" i="1"/>
  <c r="N418" i="1" s="1"/>
  <c r="K419" i="1"/>
  <c r="M419" i="1" s="1"/>
  <c r="L419" i="1"/>
  <c r="N419" i="1" s="1"/>
  <c r="K420" i="1"/>
  <c r="M420" i="1" s="1"/>
  <c r="L420" i="1"/>
  <c r="N420" i="1" s="1"/>
  <c r="K421" i="1"/>
  <c r="M421" i="1" s="1"/>
  <c r="L421" i="1"/>
  <c r="N421" i="1" s="1"/>
  <c r="L416" i="1"/>
  <c r="N416" i="1" s="1"/>
  <c r="K416" i="1"/>
  <c r="M416" i="1" s="1"/>
  <c r="L405" i="1"/>
  <c r="N405" i="1" s="1"/>
  <c r="L406" i="1"/>
  <c r="N406" i="1" s="1"/>
  <c r="L407" i="1"/>
  <c r="N407" i="1" s="1"/>
  <c r="L408" i="1"/>
  <c r="N408" i="1" s="1"/>
  <c r="L409" i="1"/>
  <c r="N409" i="1" s="1"/>
  <c r="K405" i="1"/>
  <c r="M405" i="1" s="1"/>
  <c r="K406" i="1"/>
  <c r="M406" i="1" s="1"/>
  <c r="K407" i="1"/>
  <c r="M407" i="1" s="1"/>
  <c r="K408" i="1"/>
  <c r="M408" i="1" s="1"/>
  <c r="K409" i="1"/>
  <c r="M409" i="1" s="1"/>
  <c r="K423" i="1"/>
  <c r="M423" i="1" s="1"/>
  <c r="L423" i="1"/>
  <c r="N423" i="1" s="1"/>
  <c r="K424" i="1"/>
  <c r="M424" i="1" s="1"/>
  <c r="L424" i="1"/>
  <c r="N424" i="1" s="1"/>
  <c r="K425" i="1"/>
  <c r="M425" i="1" s="1"/>
  <c r="L425" i="1"/>
  <c r="N425" i="1" s="1"/>
  <c r="K426" i="1"/>
  <c r="M426" i="1" s="1"/>
  <c r="L426" i="1"/>
  <c r="N426" i="1" s="1"/>
  <c r="K427" i="1"/>
  <c r="M427" i="1" s="1"/>
  <c r="L427" i="1"/>
  <c r="N427" i="1" s="1"/>
  <c r="L422" i="1"/>
  <c r="N422" i="1" s="1"/>
  <c r="K422" i="1"/>
  <c r="M422" i="1" s="1"/>
  <c r="U447" i="1" l="1"/>
  <c r="U448" i="1"/>
  <c r="U449" i="1"/>
  <c r="U450" i="1"/>
  <c r="U451" i="1"/>
  <c r="U446" i="1"/>
  <c r="U441" i="1"/>
  <c r="U442" i="1"/>
  <c r="U443" i="1"/>
  <c r="U444" i="1"/>
  <c r="U445" i="1"/>
  <c r="U440" i="1"/>
  <c r="S405" i="1"/>
  <c r="T405" i="1"/>
  <c r="S406" i="1"/>
  <c r="T406" i="1"/>
  <c r="S407" i="1"/>
  <c r="T407" i="1"/>
  <c r="S408" i="1"/>
  <c r="T408" i="1"/>
  <c r="S409" i="1"/>
  <c r="T409" i="1"/>
  <c r="S410" i="1"/>
  <c r="T410" i="1"/>
  <c r="S411" i="1"/>
  <c r="T411" i="1"/>
  <c r="S412" i="1"/>
  <c r="T412" i="1"/>
  <c r="S413" i="1"/>
  <c r="T413" i="1"/>
  <c r="S414" i="1"/>
  <c r="T414" i="1"/>
  <c r="S415" i="1"/>
  <c r="T415" i="1"/>
  <c r="S416" i="1"/>
  <c r="T416" i="1"/>
  <c r="S417" i="1"/>
  <c r="T417" i="1"/>
  <c r="S418" i="1"/>
  <c r="T418" i="1"/>
  <c r="S419" i="1"/>
  <c r="T419" i="1"/>
  <c r="S420" i="1"/>
  <c r="T420" i="1"/>
  <c r="S421" i="1"/>
  <c r="T421" i="1"/>
  <c r="S422" i="1"/>
  <c r="T422" i="1"/>
  <c r="S423" i="1"/>
  <c r="T423" i="1"/>
  <c r="S424" i="1"/>
  <c r="T424" i="1"/>
  <c r="S425" i="1"/>
  <c r="T425" i="1"/>
  <c r="S426" i="1"/>
  <c r="T426" i="1"/>
  <c r="S427" i="1"/>
  <c r="T427" i="1"/>
  <c r="S428" i="1"/>
  <c r="T428" i="1"/>
  <c r="S429" i="1"/>
  <c r="T429" i="1"/>
  <c r="S430" i="1"/>
  <c r="T430" i="1"/>
  <c r="S431" i="1"/>
  <c r="T431" i="1"/>
  <c r="S432" i="1"/>
  <c r="T432" i="1"/>
  <c r="S433" i="1"/>
  <c r="T433" i="1"/>
  <c r="S434" i="1"/>
  <c r="T434" i="1"/>
  <c r="S435" i="1"/>
  <c r="T435" i="1"/>
  <c r="S436" i="1"/>
  <c r="T436" i="1"/>
  <c r="S437" i="1"/>
  <c r="T437" i="1"/>
  <c r="S438" i="1"/>
  <c r="T438" i="1"/>
  <c r="S439" i="1"/>
  <c r="T439" i="1"/>
  <c r="S440" i="1"/>
  <c r="T440" i="1"/>
  <c r="S441" i="1"/>
  <c r="T441" i="1"/>
  <c r="S442" i="1"/>
  <c r="T442" i="1"/>
  <c r="S443" i="1"/>
  <c r="T443" i="1"/>
  <c r="S444" i="1"/>
  <c r="T444" i="1"/>
  <c r="S445" i="1"/>
  <c r="T445" i="1"/>
  <c r="S446" i="1"/>
  <c r="T446" i="1"/>
  <c r="S447" i="1"/>
  <c r="T447" i="1"/>
  <c r="S448" i="1"/>
  <c r="T448" i="1"/>
  <c r="S449" i="1"/>
  <c r="T449" i="1"/>
  <c r="S450" i="1"/>
  <c r="T450" i="1"/>
  <c r="S451" i="1"/>
  <c r="T451" i="1"/>
  <c r="A451" i="1"/>
  <c r="A450" i="1"/>
  <c r="A449" i="1"/>
  <c r="A448" i="1"/>
  <c r="A447" i="1"/>
  <c r="A444" i="1"/>
  <c r="A443" i="1"/>
  <c r="A442" i="1"/>
  <c r="A441" i="1"/>
  <c r="A440" i="1"/>
  <c r="A439" i="1"/>
  <c r="A438" i="1"/>
  <c r="A437" i="1"/>
  <c r="A436" i="1"/>
  <c r="A435" i="1"/>
  <c r="A446" i="1"/>
  <c r="A44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L364" i="1" l="1"/>
  <c r="N364" i="1" s="1"/>
  <c r="L363" i="1"/>
  <c r="N363" i="1" s="1"/>
  <c r="L362" i="1"/>
  <c r="N362" i="1" s="1"/>
  <c r="L361" i="1"/>
  <c r="N361" i="1" s="1"/>
  <c r="L360" i="1"/>
  <c r="N360" i="1" s="1"/>
  <c r="L359" i="1"/>
  <c r="N359" i="1" s="1"/>
  <c r="L358" i="1"/>
  <c r="N358" i="1" s="1"/>
  <c r="L357" i="1"/>
  <c r="N357" i="1" s="1"/>
  <c r="L356" i="1"/>
  <c r="N356" i="1" s="1"/>
  <c r="K357" i="1"/>
  <c r="M357" i="1" s="1"/>
  <c r="K358" i="1"/>
  <c r="M358" i="1" s="1"/>
  <c r="K359" i="1"/>
  <c r="M359" i="1" s="1"/>
  <c r="K360" i="1"/>
  <c r="M360" i="1" s="1"/>
  <c r="K361" i="1"/>
  <c r="M361" i="1" s="1"/>
  <c r="K362" i="1"/>
  <c r="M362" i="1" s="1"/>
  <c r="K363" i="1"/>
  <c r="M363" i="1" s="1"/>
  <c r="K364" i="1"/>
  <c r="M364" i="1" s="1"/>
  <c r="K356" i="1"/>
  <c r="M356" i="1" s="1"/>
  <c r="A364" i="1" l="1"/>
  <c r="A363" i="1"/>
  <c r="A362" i="1"/>
  <c r="A361" i="1"/>
  <c r="A360" i="1"/>
  <c r="A359" i="1"/>
  <c r="A358" i="1"/>
  <c r="A357" i="1"/>
  <c r="A356" i="1"/>
  <c r="A322" i="1" l="1"/>
  <c r="K296" i="1" l="1"/>
  <c r="M296" i="1" s="1"/>
  <c r="L296" i="1"/>
  <c r="N296" i="1" s="1"/>
  <c r="O296" i="1"/>
  <c r="P296" i="1"/>
  <c r="Q296" i="1"/>
  <c r="R296" i="1"/>
  <c r="S296" i="1"/>
  <c r="T296" i="1"/>
  <c r="U296" i="1"/>
  <c r="W296" i="1"/>
  <c r="X296" i="1"/>
  <c r="Y296" i="1"/>
  <c r="Z296" i="1"/>
  <c r="AA296" i="1"/>
  <c r="A296" i="1"/>
  <c r="M13" i="5" l="1"/>
  <c r="N13" i="5"/>
  <c r="M14" i="5"/>
  <c r="N14" i="5"/>
  <c r="M15" i="5"/>
  <c r="N15" i="5"/>
  <c r="M16" i="5"/>
  <c r="N16" i="5"/>
  <c r="M17" i="5"/>
  <c r="N17" i="5"/>
  <c r="M18" i="5"/>
  <c r="N18" i="5"/>
  <c r="M19" i="5"/>
  <c r="N19" i="5"/>
  <c r="M20" i="5"/>
  <c r="N20" i="5"/>
  <c r="M21" i="5"/>
  <c r="N21" i="5"/>
  <c r="M22" i="5"/>
  <c r="N22" i="5"/>
  <c r="M23" i="5"/>
  <c r="N23" i="5"/>
  <c r="M24" i="5"/>
  <c r="N24" i="5"/>
  <c r="M25" i="5"/>
  <c r="N25" i="5"/>
  <c r="M26" i="5"/>
  <c r="N26" i="5"/>
  <c r="M27" i="5"/>
  <c r="N27" i="5"/>
  <c r="M28" i="5"/>
  <c r="N28" i="5"/>
  <c r="M29" i="5"/>
  <c r="N29" i="5"/>
  <c r="A390" i="1" l="1"/>
  <c r="A389" i="1"/>
  <c r="K366" i="1" l="1"/>
  <c r="M366" i="1" s="1"/>
  <c r="L366" i="1"/>
  <c r="N366" i="1" s="1"/>
  <c r="K367" i="1"/>
  <c r="M367" i="1" s="1"/>
  <c r="L367" i="1"/>
  <c r="N367" i="1" s="1"/>
  <c r="K368" i="1"/>
  <c r="M368" i="1" s="1"/>
  <c r="L368" i="1"/>
  <c r="N368" i="1" s="1"/>
  <c r="K369" i="1"/>
  <c r="M369" i="1" s="1"/>
  <c r="L369" i="1"/>
  <c r="N369" i="1" s="1"/>
  <c r="K370" i="1"/>
  <c r="M370" i="1" s="1"/>
  <c r="L370" i="1"/>
  <c r="N370" i="1" s="1"/>
  <c r="K371" i="1"/>
  <c r="M371" i="1" s="1"/>
  <c r="L371" i="1"/>
  <c r="N371" i="1" s="1"/>
  <c r="K372" i="1"/>
  <c r="M372" i="1" s="1"/>
  <c r="L372" i="1"/>
  <c r="N372" i="1" s="1"/>
  <c r="K373" i="1"/>
  <c r="M373" i="1" s="1"/>
  <c r="L373" i="1"/>
  <c r="N373" i="1" s="1"/>
  <c r="L365" i="1"/>
  <c r="N365" i="1" s="1"/>
  <c r="K365" i="1"/>
  <c r="M365" i="1" s="1"/>
  <c r="A384" i="1" l="1"/>
  <c r="A395" i="1"/>
  <c r="A388" i="1"/>
  <c r="A387" i="1"/>
  <c r="A386" i="1"/>
  <c r="A385" i="1"/>
  <c r="A383" i="1"/>
  <c r="A382" i="1"/>
  <c r="A381" i="1"/>
  <c r="A380" i="1"/>
  <c r="A379" i="1"/>
  <c r="A378" i="1"/>
  <c r="A377" i="1"/>
  <c r="A376" i="1"/>
  <c r="A375" i="1"/>
  <c r="A373" i="1" l="1"/>
  <c r="A372" i="1"/>
  <c r="A371" i="1"/>
  <c r="A370" i="1"/>
  <c r="A369" i="1"/>
  <c r="A368" i="1"/>
  <c r="A367" i="1"/>
  <c r="A366" i="1"/>
  <c r="A365" i="1"/>
  <c r="A355" i="1"/>
  <c r="A354" i="1"/>
  <c r="A353" i="1"/>
  <c r="A352" i="1"/>
  <c r="A351" i="1"/>
  <c r="A350" i="1"/>
  <c r="A349" i="1"/>
  <c r="A348" i="1"/>
  <c r="A347" i="1"/>
  <c r="A345" i="1" l="1"/>
  <c r="A344" i="1"/>
  <c r="A343" i="1"/>
  <c r="A342" i="1"/>
  <c r="A341" i="1"/>
  <c r="I164" i="1" l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A274" i="1"/>
  <c r="G274" i="1"/>
  <c r="H274" i="1"/>
  <c r="I274" i="1"/>
  <c r="A275" i="1"/>
  <c r="G275" i="1"/>
  <c r="H275" i="1"/>
  <c r="I275" i="1"/>
  <c r="A276" i="1"/>
  <c r="G276" i="1"/>
  <c r="H276" i="1"/>
  <c r="I276" i="1"/>
  <c r="A162" i="1"/>
  <c r="G162" i="1"/>
  <c r="H162" i="1"/>
  <c r="A163" i="1"/>
  <c r="G163" i="1"/>
  <c r="H163" i="1"/>
  <c r="A164" i="1"/>
  <c r="G164" i="1"/>
  <c r="H164" i="1"/>
  <c r="A106" i="1"/>
  <c r="G106" i="1"/>
  <c r="H106" i="1"/>
  <c r="I106" i="1"/>
  <c r="A107" i="1"/>
  <c r="G107" i="1"/>
  <c r="H107" i="1"/>
  <c r="K107" i="1" s="1"/>
  <c r="M107" i="1" s="1"/>
  <c r="I107" i="1"/>
  <c r="A108" i="1"/>
  <c r="G108" i="1"/>
  <c r="H108" i="1"/>
  <c r="I108" i="1"/>
  <c r="A50" i="1"/>
  <c r="K50" i="1"/>
  <c r="M50" i="1" s="1"/>
  <c r="L50" i="1"/>
  <c r="N50" i="1" s="1"/>
  <c r="O50" i="1"/>
  <c r="P50" i="1"/>
  <c r="Q50" i="1"/>
  <c r="R50" i="1"/>
  <c r="S50" i="1"/>
  <c r="T50" i="1"/>
  <c r="U50" i="1"/>
  <c r="W50" i="1"/>
  <c r="X50" i="1"/>
  <c r="Y50" i="1"/>
  <c r="Z50" i="1"/>
  <c r="AA50" i="1"/>
  <c r="A51" i="1"/>
  <c r="K51" i="1"/>
  <c r="M51" i="1" s="1"/>
  <c r="L51" i="1"/>
  <c r="N51" i="1" s="1"/>
  <c r="O51" i="1"/>
  <c r="P51" i="1"/>
  <c r="Q51" i="1"/>
  <c r="R51" i="1"/>
  <c r="S51" i="1"/>
  <c r="T51" i="1"/>
  <c r="U51" i="1"/>
  <c r="W51" i="1"/>
  <c r="X51" i="1"/>
  <c r="Y51" i="1"/>
  <c r="Z51" i="1"/>
  <c r="AA51" i="1"/>
  <c r="A52" i="1"/>
  <c r="K52" i="1"/>
  <c r="M52" i="1" s="1"/>
  <c r="L52" i="1"/>
  <c r="N52" i="1" s="1"/>
  <c r="O52" i="1"/>
  <c r="P52" i="1"/>
  <c r="Q52" i="1"/>
  <c r="R52" i="1"/>
  <c r="S52" i="1"/>
  <c r="T52" i="1"/>
  <c r="U52" i="1"/>
  <c r="W52" i="1"/>
  <c r="X52" i="1"/>
  <c r="Y52" i="1"/>
  <c r="Z52" i="1"/>
  <c r="AA52" i="1"/>
  <c r="B274" i="4"/>
  <c r="C274" i="4"/>
  <c r="D274" i="4"/>
  <c r="K274" i="1" s="1"/>
  <c r="M274" i="1" s="1"/>
  <c r="E274" i="4"/>
  <c r="F274" i="4"/>
  <c r="G274" i="4"/>
  <c r="H274" i="4"/>
  <c r="I274" i="4"/>
  <c r="J274" i="4"/>
  <c r="K274" i="4"/>
  <c r="N274" i="4"/>
  <c r="O274" i="4"/>
  <c r="P274" i="4"/>
  <c r="Q274" i="4"/>
  <c r="R274" i="4"/>
  <c r="S274" i="4"/>
  <c r="T274" i="4"/>
  <c r="B275" i="4"/>
  <c r="C275" i="4"/>
  <c r="D275" i="4"/>
  <c r="E275" i="4"/>
  <c r="F275" i="4"/>
  <c r="G275" i="4"/>
  <c r="H275" i="4"/>
  <c r="I275" i="4"/>
  <c r="J275" i="4"/>
  <c r="K275" i="4"/>
  <c r="N275" i="4"/>
  <c r="O275" i="4"/>
  <c r="P275" i="4"/>
  <c r="Q275" i="4"/>
  <c r="R275" i="4"/>
  <c r="S275" i="4"/>
  <c r="T275" i="4"/>
  <c r="B276" i="4"/>
  <c r="C276" i="4"/>
  <c r="D276" i="4"/>
  <c r="K276" i="1" s="1"/>
  <c r="M276" i="1" s="1"/>
  <c r="E276" i="4"/>
  <c r="F276" i="4"/>
  <c r="G276" i="4"/>
  <c r="H276" i="4"/>
  <c r="I276" i="4"/>
  <c r="J276" i="4"/>
  <c r="K276" i="4"/>
  <c r="N276" i="4"/>
  <c r="O276" i="4"/>
  <c r="P276" i="4"/>
  <c r="Q276" i="4"/>
  <c r="R276" i="4"/>
  <c r="S276" i="4"/>
  <c r="T276" i="4"/>
  <c r="B162" i="4"/>
  <c r="C162" i="4"/>
  <c r="D162" i="4"/>
  <c r="E162" i="4"/>
  <c r="F162" i="4"/>
  <c r="G162" i="4"/>
  <c r="H162" i="4"/>
  <c r="I162" i="4"/>
  <c r="J162" i="4"/>
  <c r="K162" i="4"/>
  <c r="L162" i="4"/>
  <c r="M162" i="4"/>
  <c r="O162" i="4"/>
  <c r="P162" i="4"/>
  <c r="Q162" i="4"/>
  <c r="R162" i="4"/>
  <c r="S162" i="4"/>
  <c r="T162" i="4"/>
  <c r="B163" i="4"/>
  <c r="C163" i="4"/>
  <c r="D163" i="4"/>
  <c r="E163" i="4"/>
  <c r="F163" i="4"/>
  <c r="G163" i="4"/>
  <c r="H163" i="4"/>
  <c r="I163" i="4"/>
  <c r="J163" i="4"/>
  <c r="K163" i="4"/>
  <c r="L163" i="4"/>
  <c r="M163" i="4"/>
  <c r="O163" i="4"/>
  <c r="P163" i="4"/>
  <c r="Q163" i="4"/>
  <c r="R163" i="4"/>
  <c r="S163" i="4"/>
  <c r="T163" i="4"/>
  <c r="B164" i="4"/>
  <c r="C164" i="4"/>
  <c r="D164" i="4"/>
  <c r="E164" i="4"/>
  <c r="F164" i="4"/>
  <c r="G164" i="4"/>
  <c r="H164" i="4"/>
  <c r="I164" i="4"/>
  <c r="J164" i="4"/>
  <c r="K164" i="4"/>
  <c r="L164" i="4"/>
  <c r="M164" i="4"/>
  <c r="O164" i="4"/>
  <c r="P164" i="4"/>
  <c r="Q164" i="4"/>
  <c r="R164" i="4"/>
  <c r="S164" i="4"/>
  <c r="T164" i="4"/>
  <c r="B106" i="4"/>
  <c r="C106" i="4"/>
  <c r="C218" i="4" s="1"/>
  <c r="K106" i="1"/>
  <c r="M106" i="1" s="1"/>
  <c r="F106" i="4"/>
  <c r="G106" i="4"/>
  <c r="H106" i="4"/>
  <c r="I106" i="4"/>
  <c r="J106" i="4"/>
  <c r="K106" i="4"/>
  <c r="L106" i="4"/>
  <c r="M106" i="4"/>
  <c r="O106" i="4"/>
  <c r="P106" i="4"/>
  <c r="Q106" i="4"/>
  <c r="R106" i="4"/>
  <c r="S106" i="4"/>
  <c r="T106" i="4"/>
  <c r="B107" i="4"/>
  <c r="C107" i="4"/>
  <c r="C219" i="4" s="1"/>
  <c r="F107" i="4"/>
  <c r="G107" i="4"/>
  <c r="H107" i="4"/>
  <c r="I107" i="4"/>
  <c r="J107" i="4"/>
  <c r="K107" i="4"/>
  <c r="L107" i="4"/>
  <c r="M107" i="4"/>
  <c r="O107" i="4"/>
  <c r="P107" i="4"/>
  <c r="Q107" i="4"/>
  <c r="R107" i="4"/>
  <c r="S107" i="4"/>
  <c r="T107" i="4"/>
  <c r="B108" i="4"/>
  <c r="C108" i="4"/>
  <c r="C220" i="4" s="1"/>
  <c r="K108" i="1"/>
  <c r="M108" i="1" s="1"/>
  <c r="F108" i="4"/>
  <c r="G108" i="4"/>
  <c r="H108" i="4"/>
  <c r="I108" i="4"/>
  <c r="J108" i="4"/>
  <c r="K108" i="4"/>
  <c r="L108" i="4"/>
  <c r="M108" i="4"/>
  <c r="O108" i="4"/>
  <c r="P108" i="4"/>
  <c r="Q108" i="4"/>
  <c r="R108" i="4"/>
  <c r="S108" i="4"/>
  <c r="T108" i="4"/>
  <c r="K275" i="1" l="1"/>
  <c r="M275" i="1" s="1"/>
  <c r="L108" i="1"/>
  <c r="N108" i="1" s="1"/>
  <c r="L106" i="1"/>
  <c r="N106" i="1" s="1"/>
  <c r="K163" i="1"/>
  <c r="M163" i="1" s="1"/>
  <c r="L276" i="1"/>
  <c r="N276" i="1" s="1"/>
  <c r="L274" i="1"/>
  <c r="N274" i="1" s="1"/>
  <c r="L107" i="1"/>
  <c r="N107" i="1" s="1"/>
  <c r="L164" i="1"/>
  <c r="N164" i="1" s="1"/>
  <c r="K162" i="1"/>
  <c r="M162" i="1" s="1"/>
  <c r="L275" i="1"/>
  <c r="N275" i="1" s="1"/>
  <c r="W276" i="1"/>
  <c r="U274" i="1"/>
  <c r="Y106" i="1"/>
  <c r="Y274" i="1"/>
  <c r="Q274" i="1"/>
  <c r="U106" i="1"/>
  <c r="Y162" i="1"/>
  <c r="AA276" i="1"/>
  <c r="S276" i="1"/>
  <c r="U275" i="1"/>
  <c r="Y276" i="1"/>
  <c r="U276" i="1"/>
  <c r="Q276" i="1"/>
  <c r="Y275" i="1"/>
  <c r="Q275" i="1"/>
  <c r="AA106" i="1"/>
  <c r="W106" i="1"/>
  <c r="Q106" i="1"/>
  <c r="Y164" i="1"/>
  <c r="Z276" i="1"/>
  <c r="X276" i="1"/>
  <c r="T276" i="1"/>
  <c r="R276" i="1"/>
  <c r="P276" i="1"/>
  <c r="AA275" i="1"/>
  <c r="W275" i="1"/>
  <c r="S275" i="1"/>
  <c r="O275" i="1"/>
  <c r="AA274" i="1"/>
  <c r="W274" i="1"/>
  <c r="S274" i="1"/>
  <c r="O274" i="1"/>
  <c r="U164" i="1"/>
  <c r="U162" i="1"/>
  <c r="Z274" i="1"/>
  <c r="X274" i="1"/>
  <c r="T274" i="1"/>
  <c r="R274" i="1"/>
  <c r="P274" i="1"/>
  <c r="U108" i="1"/>
  <c r="Z106" i="1"/>
  <c r="X106" i="1"/>
  <c r="S106" i="1"/>
  <c r="O106" i="1"/>
  <c r="AA164" i="1"/>
  <c r="W164" i="1"/>
  <c r="Q164" i="1"/>
  <c r="W163" i="1"/>
  <c r="AA162" i="1"/>
  <c r="W162" i="1"/>
  <c r="S162" i="1"/>
  <c r="Y108" i="1"/>
  <c r="Q108" i="1"/>
  <c r="AA107" i="1"/>
  <c r="Z162" i="1"/>
  <c r="X162" i="1"/>
  <c r="T162" i="1"/>
  <c r="R162" i="1"/>
  <c r="O276" i="1"/>
  <c r="Z164" i="1"/>
  <c r="X164" i="1"/>
  <c r="S164" i="1"/>
  <c r="O164" i="1"/>
  <c r="AA163" i="1"/>
  <c r="S163" i="1"/>
  <c r="Q162" i="1"/>
  <c r="S107" i="1"/>
  <c r="O163" i="1"/>
  <c r="AA108" i="1"/>
  <c r="W108" i="1"/>
  <c r="S108" i="1"/>
  <c r="O108" i="1"/>
  <c r="T164" i="1"/>
  <c r="R164" i="1"/>
  <c r="P164" i="1"/>
  <c r="P162" i="1"/>
  <c r="Z108" i="1"/>
  <c r="X108" i="1"/>
  <c r="T108" i="1"/>
  <c r="R108" i="1"/>
  <c r="P108" i="1"/>
  <c r="T106" i="1"/>
  <c r="R106" i="1"/>
  <c r="P106" i="1"/>
  <c r="K164" i="1"/>
  <c r="M164" i="1" s="1"/>
  <c r="W107" i="1"/>
  <c r="O107" i="1"/>
  <c r="Y163" i="1"/>
  <c r="U163" i="1"/>
  <c r="Q163" i="1"/>
  <c r="Y107" i="1"/>
  <c r="U107" i="1"/>
  <c r="Q107" i="1"/>
  <c r="Z163" i="1"/>
  <c r="X163" i="1"/>
  <c r="T163" i="1"/>
  <c r="R163" i="1"/>
  <c r="P163" i="1"/>
  <c r="L163" i="1"/>
  <c r="N163" i="1" s="1"/>
  <c r="O162" i="1"/>
  <c r="L162" i="1"/>
  <c r="N162" i="1" s="1"/>
  <c r="Z107" i="1"/>
  <c r="X107" i="1"/>
  <c r="T107" i="1"/>
  <c r="R107" i="1"/>
  <c r="P107" i="1"/>
  <c r="Z275" i="1"/>
  <c r="X275" i="1"/>
  <c r="T275" i="1"/>
  <c r="R275" i="1"/>
  <c r="P275" i="1"/>
  <c r="A321" i="1"/>
  <c r="A320" i="1"/>
  <c r="I233" i="1" l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32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64" i="1"/>
  <c r="H253" i="1"/>
  <c r="G253" i="1"/>
  <c r="A253" i="1"/>
  <c r="H141" i="1"/>
  <c r="G141" i="1"/>
  <c r="A141" i="1"/>
  <c r="H85" i="1"/>
  <c r="G85" i="1"/>
  <c r="A85" i="1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T253" i="4"/>
  <c r="S253" i="4"/>
  <c r="R253" i="4"/>
  <c r="Q253" i="4"/>
  <c r="P253" i="4"/>
  <c r="O253" i="4"/>
  <c r="K253" i="4"/>
  <c r="J253" i="4"/>
  <c r="I253" i="4"/>
  <c r="H253" i="4"/>
  <c r="G253" i="4"/>
  <c r="F253" i="4"/>
  <c r="E253" i="4"/>
  <c r="D253" i="4"/>
  <c r="C253" i="4"/>
  <c r="B253" i="4"/>
  <c r="T141" i="4"/>
  <c r="S141" i="4"/>
  <c r="R141" i="4"/>
  <c r="Q141" i="4"/>
  <c r="P141" i="4"/>
  <c r="O141" i="4"/>
  <c r="M141" i="4"/>
  <c r="L141" i="4"/>
  <c r="K141" i="4"/>
  <c r="J141" i="4"/>
  <c r="I141" i="4"/>
  <c r="H141" i="4"/>
  <c r="G141" i="4"/>
  <c r="F141" i="4"/>
  <c r="E141" i="4"/>
  <c r="D141" i="4"/>
  <c r="C141" i="4"/>
  <c r="B141" i="4"/>
  <c r="T85" i="4"/>
  <c r="S85" i="4"/>
  <c r="R85" i="4"/>
  <c r="Q85" i="4"/>
  <c r="P85" i="4"/>
  <c r="O85" i="4"/>
  <c r="M85" i="4"/>
  <c r="L85" i="4"/>
  <c r="K85" i="4"/>
  <c r="J85" i="4"/>
  <c r="I85" i="4"/>
  <c r="H85" i="4"/>
  <c r="G85" i="4"/>
  <c r="F85" i="4"/>
  <c r="C85" i="4"/>
  <c r="C197" i="4" s="1"/>
  <c r="B85" i="4"/>
  <c r="AA141" i="1" l="1"/>
  <c r="AA85" i="1"/>
  <c r="AA253" i="1"/>
  <c r="K141" i="1"/>
  <c r="M141" i="1" s="1"/>
  <c r="O141" i="1"/>
  <c r="Q141" i="1"/>
  <c r="L253" i="1"/>
  <c r="N253" i="1" s="1"/>
  <c r="P253" i="1"/>
  <c r="R253" i="1"/>
  <c r="T253" i="1"/>
  <c r="X253" i="1"/>
  <c r="Z253" i="1"/>
  <c r="K253" i="1"/>
  <c r="M253" i="1" s="1"/>
  <c r="O253" i="1"/>
  <c r="Q253" i="1"/>
  <c r="S253" i="1"/>
  <c r="U253" i="1"/>
  <c r="W253" i="1"/>
  <c r="Y253" i="1"/>
  <c r="L141" i="1"/>
  <c r="N141" i="1" s="1"/>
  <c r="P141" i="1"/>
  <c r="R141" i="1"/>
  <c r="T141" i="1"/>
  <c r="X141" i="1"/>
  <c r="Z141" i="1"/>
  <c r="S141" i="1"/>
  <c r="U141" i="1"/>
  <c r="W141" i="1"/>
  <c r="Y141" i="1"/>
  <c r="L85" i="1"/>
  <c r="N85" i="1" s="1"/>
  <c r="P85" i="1"/>
  <c r="R85" i="1"/>
  <c r="T85" i="1"/>
  <c r="X85" i="1"/>
  <c r="Z85" i="1"/>
  <c r="K85" i="1"/>
  <c r="M85" i="1" s="1"/>
  <c r="O85" i="1"/>
  <c r="Q85" i="1"/>
  <c r="S85" i="1"/>
  <c r="U85" i="1"/>
  <c r="W85" i="1"/>
  <c r="Y85" i="1"/>
  <c r="AA29" i="1"/>
  <c r="Z29" i="1"/>
  <c r="Y29" i="1"/>
  <c r="X29" i="1"/>
  <c r="W29" i="1"/>
  <c r="U29" i="1"/>
  <c r="T29" i="1"/>
  <c r="S29" i="1"/>
  <c r="R29" i="1"/>
  <c r="Q29" i="1"/>
  <c r="P29" i="1"/>
  <c r="O29" i="1"/>
  <c r="L29" i="1"/>
  <c r="N29" i="1" s="1"/>
  <c r="K29" i="1"/>
  <c r="M29" i="1" s="1"/>
  <c r="A29" i="1"/>
  <c r="C2" i="5" l="1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" i="5"/>
  <c r="G65" i="1" l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6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20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L80" i="1" s="1"/>
  <c r="N80" i="1" s="1"/>
  <c r="H81" i="1"/>
  <c r="L81" i="1" s="1"/>
  <c r="N81" i="1" s="1"/>
  <c r="H82" i="1"/>
  <c r="L82" i="1" s="1"/>
  <c r="N82" i="1" s="1"/>
  <c r="H83" i="1"/>
  <c r="L83" i="1" s="1"/>
  <c r="N83" i="1" s="1"/>
  <c r="H84" i="1"/>
  <c r="L84" i="1" s="1"/>
  <c r="N84" i="1" s="1"/>
  <c r="H86" i="1"/>
  <c r="L86" i="1" s="1"/>
  <c r="N86" i="1" s="1"/>
  <c r="H87" i="1"/>
  <c r="L87" i="1" s="1"/>
  <c r="N87" i="1" s="1"/>
  <c r="H88" i="1"/>
  <c r="L88" i="1" s="1"/>
  <c r="N88" i="1" s="1"/>
  <c r="H89" i="1"/>
  <c r="L89" i="1" s="1"/>
  <c r="N89" i="1" s="1"/>
  <c r="H90" i="1"/>
  <c r="L90" i="1" s="1"/>
  <c r="N90" i="1" s="1"/>
  <c r="H91" i="1"/>
  <c r="L91" i="1" s="1"/>
  <c r="N91" i="1" s="1"/>
  <c r="H92" i="1"/>
  <c r="L92" i="1" s="1"/>
  <c r="N92" i="1" s="1"/>
  <c r="H93" i="1"/>
  <c r="L93" i="1" s="1"/>
  <c r="N93" i="1" s="1"/>
  <c r="H94" i="1"/>
  <c r="L94" i="1" s="1"/>
  <c r="N94" i="1" s="1"/>
  <c r="H95" i="1"/>
  <c r="L95" i="1" s="1"/>
  <c r="N95" i="1" s="1"/>
  <c r="H96" i="1"/>
  <c r="L96" i="1" s="1"/>
  <c r="N96" i="1" s="1"/>
  <c r="H97" i="1"/>
  <c r="L97" i="1" s="1"/>
  <c r="N97" i="1" s="1"/>
  <c r="H98" i="1"/>
  <c r="L98" i="1" s="1"/>
  <c r="N98" i="1" s="1"/>
  <c r="H99" i="1"/>
  <c r="L99" i="1" s="1"/>
  <c r="N99" i="1" s="1"/>
  <c r="H100" i="1"/>
  <c r="L100" i="1" s="1"/>
  <c r="N100" i="1" s="1"/>
  <c r="H101" i="1"/>
  <c r="L101" i="1" s="1"/>
  <c r="N101" i="1" s="1"/>
  <c r="H102" i="1"/>
  <c r="L102" i="1" s="1"/>
  <c r="N102" i="1" s="1"/>
  <c r="H103" i="1"/>
  <c r="L103" i="1" s="1"/>
  <c r="N103" i="1" s="1"/>
  <c r="H104" i="1"/>
  <c r="L104" i="1" s="1"/>
  <c r="N104" i="1" s="1"/>
  <c r="H105" i="1"/>
  <c r="K105" i="1" s="1"/>
  <c r="M105" i="1" s="1"/>
  <c r="H64" i="1"/>
  <c r="L64" i="1" s="1"/>
  <c r="N64" i="1" s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64" i="1"/>
  <c r="A65" i="1"/>
  <c r="A66" i="1"/>
  <c r="A67" i="1"/>
  <c r="A68" i="1"/>
  <c r="A69" i="1"/>
  <c r="U64" i="1" l="1"/>
  <c r="L79" i="1"/>
  <c r="N79" i="1" s="1"/>
  <c r="K79" i="1"/>
  <c r="M79" i="1" s="1"/>
  <c r="L77" i="1"/>
  <c r="N77" i="1" s="1"/>
  <c r="K77" i="1"/>
  <c r="M77" i="1" s="1"/>
  <c r="U77" i="1"/>
  <c r="L75" i="1"/>
  <c r="N75" i="1" s="1"/>
  <c r="K75" i="1"/>
  <c r="M75" i="1" s="1"/>
  <c r="U75" i="1"/>
  <c r="L73" i="1"/>
  <c r="N73" i="1" s="1"/>
  <c r="K73" i="1"/>
  <c r="M73" i="1" s="1"/>
  <c r="U73" i="1"/>
  <c r="L71" i="1"/>
  <c r="N71" i="1" s="1"/>
  <c r="K71" i="1"/>
  <c r="M71" i="1" s="1"/>
  <c r="U71" i="1"/>
  <c r="L69" i="1"/>
  <c r="N69" i="1" s="1"/>
  <c r="K69" i="1"/>
  <c r="M69" i="1" s="1"/>
  <c r="U69" i="1"/>
  <c r="L67" i="1"/>
  <c r="N67" i="1" s="1"/>
  <c r="K67" i="1"/>
  <c r="M67" i="1" s="1"/>
  <c r="U67" i="1"/>
  <c r="L65" i="1"/>
  <c r="N65" i="1" s="1"/>
  <c r="K65" i="1"/>
  <c r="M65" i="1" s="1"/>
  <c r="U65" i="1"/>
  <c r="L105" i="1"/>
  <c r="N105" i="1" s="1"/>
  <c r="U104" i="1"/>
  <c r="K104" i="1"/>
  <c r="M104" i="1" s="1"/>
  <c r="U103" i="1"/>
  <c r="K103" i="1"/>
  <c r="M103" i="1" s="1"/>
  <c r="U102" i="1"/>
  <c r="K102" i="1"/>
  <c r="M102" i="1" s="1"/>
  <c r="U101" i="1"/>
  <c r="K101" i="1"/>
  <c r="M101" i="1" s="1"/>
  <c r="U100" i="1"/>
  <c r="K100" i="1"/>
  <c r="M100" i="1" s="1"/>
  <c r="U99" i="1"/>
  <c r="K99" i="1"/>
  <c r="M99" i="1" s="1"/>
  <c r="U98" i="1"/>
  <c r="K98" i="1"/>
  <c r="M98" i="1" s="1"/>
  <c r="U97" i="1"/>
  <c r="K97" i="1"/>
  <c r="M97" i="1" s="1"/>
  <c r="U96" i="1"/>
  <c r="K96" i="1"/>
  <c r="M96" i="1" s="1"/>
  <c r="U95" i="1"/>
  <c r="K95" i="1"/>
  <c r="M95" i="1" s="1"/>
  <c r="U94" i="1"/>
  <c r="K94" i="1"/>
  <c r="M94" i="1" s="1"/>
  <c r="U93" i="1"/>
  <c r="K93" i="1"/>
  <c r="M93" i="1" s="1"/>
  <c r="U92" i="1"/>
  <c r="K92" i="1"/>
  <c r="M92" i="1" s="1"/>
  <c r="U91" i="1"/>
  <c r="K91" i="1"/>
  <c r="M91" i="1" s="1"/>
  <c r="U90" i="1"/>
  <c r="K90" i="1"/>
  <c r="M90" i="1" s="1"/>
  <c r="U89" i="1"/>
  <c r="K89" i="1"/>
  <c r="M89" i="1" s="1"/>
  <c r="U88" i="1"/>
  <c r="K88" i="1"/>
  <c r="M88" i="1" s="1"/>
  <c r="U87" i="1"/>
  <c r="K87" i="1"/>
  <c r="M87" i="1" s="1"/>
  <c r="U86" i="1"/>
  <c r="K86" i="1"/>
  <c r="M86" i="1" s="1"/>
  <c r="U84" i="1"/>
  <c r="K84" i="1"/>
  <c r="M84" i="1" s="1"/>
  <c r="U83" i="1"/>
  <c r="K83" i="1"/>
  <c r="M83" i="1" s="1"/>
  <c r="U82" i="1"/>
  <c r="K82" i="1"/>
  <c r="M82" i="1" s="1"/>
  <c r="U81" i="1"/>
  <c r="K81" i="1"/>
  <c r="M81" i="1" s="1"/>
  <c r="U80" i="1"/>
  <c r="K80" i="1"/>
  <c r="M80" i="1" s="1"/>
  <c r="U79" i="1"/>
  <c r="L78" i="1"/>
  <c r="N78" i="1" s="1"/>
  <c r="K78" i="1"/>
  <c r="M78" i="1" s="1"/>
  <c r="U78" i="1"/>
  <c r="L76" i="1"/>
  <c r="N76" i="1" s="1"/>
  <c r="K76" i="1"/>
  <c r="M76" i="1" s="1"/>
  <c r="U76" i="1"/>
  <c r="L74" i="1"/>
  <c r="N74" i="1" s="1"/>
  <c r="K74" i="1"/>
  <c r="M74" i="1" s="1"/>
  <c r="U74" i="1"/>
  <c r="L72" i="1"/>
  <c r="N72" i="1" s="1"/>
  <c r="K72" i="1"/>
  <c r="M72" i="1" s="1"/>
  <c r="U72" i="1"/>
  <c r="L70" i="1"/>
  <c r="N70" i="1" s="1"/>
  <c r="K70" i="1"/>
  <c r="M70" i="1" s="1"/>
  <c r="U70" i="1"/>
  <c r="L68" i="1"/>
  <c r="N68" i="1" s="1"/>
  <c r="K68" i="1"/>
  <c r="M68" i="1" s="1"/>
  <c r="U68" i="1"/>
  <c r="L66" i="1"/>
  <c r="N66" i="1" s="1"/>
  <c r="K66" i="1"/>
  <c r="M66" i="1" s="1"/>
  <c r="U66" i="1"/>
  <c r="U105" i="1"/>
  <c r="A338" i="1"/>
  <c r="A337" i="1"/>
  <c r="A336" i="1"/>
  <c r="A335" i="1"/>
  <c r="A334" i="1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32" i="4"/>
  <c r="D233" i="4"/>
  <c r="E233" i="4"/>
  <c r="D234" i="4"/>
  <c r="E234" i="4"/>
  <c r="D235" i="4"/>
  <c r="E235" i="4"/>
  <c r="D236" i="4"/>
  <c r="E236" i="4"/>
  <c r="D237" i="4"/>
  <c r="E237" i="4"/>
  <c r="D238" i="4"/>
  <c r="E238" i="4"/>
  <c r="D239" i="4"/>
  <c r="E239" i="4"/>
  <c r="D240" i="4"/>
  <c r="E240" i="4"/>
  <c r="D241" i="4"/>
  <c r="E241" i="4"/>
  <c r="D242" i="4"/>
  <c r="E242" i="4"/>
  <c r="D243" i="4"/>
  <c r="E243" i="4"/>
  <c r="D244" i="4"/>
  <c r="E244" i="4"/>
  <c r="D245" i="4"/>
  <c r="E245" i="4"/>
  <c r="D246" i="4"/>
  <c r="E246" i="4"/>
  <c r="D247" i="4"/>
  <c r="E247" i="4"/>
  <c r="D248" i="4"/>
  <c r="E248" i="4"/>
  <c r="D249" i="4"/>
  <c r="E249" i="4"/>
  <c r="D250" i="4"/>
  <c r="E250" i="4"/>
  <c r="D251" i="4"/>
  <c r="E251" i="4"/>
  <c r="D252" i="4"/>
  <c r="E252" i="4"/>
  <c r="D254" i="4"/>
  <c r="E254" i="4"/>
  <c r="D255" i="4"/>
  <c r="E255" i="4"/>
  <c r="D256" i="4"/>
  <c r="E256" i="4"/>
  <c r="D257" i="4"/>
  <c r="E257" i="4"/>
  <c r="D258" i="4"/>
  <c r="E258" i="4"/>
  <c r="D259" i="4"/>
  <c r="E259" i="4"/>
  <c r="D260" i="4"/>
  <c r="E260" i="4"/>
  <c r="D261" i="4"/>
  <c r="E261" i="4"/>
  <c r="D262" i="4"/>
  <c r="E262" i="4"/>
  <c r="D263" i="4"/>
  <c r="E263" i="4"/>
  <c r="D264" i="4"/>
  <c r="E264" i="4"/>
  <c r="D265" i="4"/>
  <c r="E265" i="4"/>
  <c r="D266" i="4"/>
  <c r="E266" i="4"/>
  <c r="D267" i="4"/>
  <c r="E267" i="4"/>
  <c r="D268" i="4"/>
  <c r="E268" i="4"/>
  <c r="D269" i="4"/>
  <c r="E269" i="4"/>
  <c r="D270" i="4"/>
  <c r="E270" i="4"/>
  <c r="D271" i="4"/>
  <c r="E271" i="4"/>
  <c r="D272" i="4"/>
  <c r="E272" i="4"/>
  <c r="D273" i="4"/>
  <c r="E273" i="4"/>
  <c r="E232" i="4"/>
  <c r="D121" i="4"/>
  <c r="E121" i="4"/>
  <c r="D122" i="4"/>
  <c r="E122" i="4"/>
  <c r="D123" i="4"/>
  <c r="E123" i="4"/>
  <c r="D124" i="4"/>
  <c r="E124" i="4"/>
  <c r="D125" i="4"/>
  <c r="E125" i="4"/>
  <c r="D126" i="4"/>
  <c r="E126" i="4"/>
  <c r="D127" i="4"/>
  <c r="E127" i="4"/>
  <c r="D128" i="4"/>
  <c r="E128" i="4"/>
  <c r="D129" i="4"/>
  <c r="E129" i="4"/>
  <c r="D130" i="4"/>
  <c r="E130" i="4"/>
  <c r="D131" i="4"/>
  <c r="E131" i="4"/>
  <c r="D132" i="4"/>
  <c r="E132" i="4"/>
  <c r="D133" i="4"/>
  <c r="E133" i="4"/>
  <c r="D134" i="4"/>
  <c r="E134" i="4"/>
  <c r="D135" i="4"/>
  <c r="E135" i="4"/>
  <c r="D136" i="4"/>
  <c r="E136" i="4"/>
  <c r="D137" i="4"/>
  <c r="E137" i="4"/>
  <c r="D138" i="4"/>
  <c r="E138" i="4"/>
  <c r="D139" i="4"/>
  <c r="E139" i="4"/>
  <c r="D140" i="4"/>
  <c r="E140" i="4"/>
  <c r="D142" i="4"/>
  <c r="E142" i="4"/>
  <c r="D143" i="4"/>
  <c r="E143" i="4"/>
  <c r="D144" i="4"/>
  <c r="E144" i="4"/>
  <c r="D145" i="4"/>
  <c r="E145" i="4"/>
  <c r="D146" i="4"/>
  <c r="E146" i="4"/>
  <c r="D147" i="4"/>
  <c r="E147" i="4"/>
  <c r="D148" i="4"/>
  <c r="E148" i="4"/>
  <c r="D149" i="4"/>
  <c r="E149" i="4"/>
  <c r="D150" i="4"/>
  <c r="E150" i="4"/>
  <c r="D151" i="4"/>
  <c r="E151" i="4"/>
  <c r="D152" i="4"/>
  <c r="E152" i="4"/>
  <c r="D153" i="4"/>
  <c r="E153" i="4"/>
  <c r="D154" i="4"/>
  <c r="E154" i="4"/>
  <c r="D155" i="4"/>
  <c r="E155" i="4"/>
  <c r="D156" i="4"/>
  <c r="E156" i="4"/>
  <c r="D157" i="4"/>
  <c r="E157" i="4"/>
  <c r="D158" i="4"/>
  <c r="E158" i="4"/>
  <c r="D159" i="4"/>
  <c r="E159" i="4"/>
  <c r="D160" i="4"/>
  <c r="E160" i="4"/>
  <c r="D161" i="4"/>
  <c r="E161" i="4"/>
  <c r="E120" i="4"/>
  <c r="N120" i="4"/>
  <c r="J65" i="4"/>
  <c r="Q65" i="1" s="1"/>
  <c r="K65" i="4"/>
  <c r="R65" i="1" s="1"/>
  <c r="L65" i="4"/>
  <c r="S65" i="1" s="1"/>
  <c r="M65" i="4"/>
  <c r="T65" i="1" s="1"/>
  <c r="J66" i="4"/>
  <c r="Q66" i="1" s="1"/>
  <c r="K66" i="4"/>
  <c r="R66" i="1" s="1"/>
  <c r="L66" i="4"/>
  <c r="S66" i="1" s="1"/>
  <c r="M66" i="4"/>
  <c r="T66" i="1" s="1"/>
  <c r="J67" i="4"/>
  <c r="Q67" i="1" s="1"/>
  <c r="K67" i="4"/>
  <c r="R67" i="1" s="1"/>
  <c r="L67" i="4"/>
  <c r="S67" i="1" s="1"/>
  <c r="M67" i="4"/>
  <c r="T67" i="1" s="1"/>
  <c r="J68" i="4"/>
  <c r="Q68" i="1" s="1"/>
  <c r="K68" i="4"/>
  <c r="R68" i="1" s="1"/>
  <c r="L68" i="4"/>
  <c r="S68" i="1" s="1"/>
  <c r="M68" i="4"/>
  <c r="T68" i="1" s="1"/>
  <c r="J69" i="4"/>
  <c r="Q69" i="1" s="1"/>
  <c r="K69" i="4"/>
  <c r="R69" i="1" s="1"/>
  <c r="L69" i="4"/>
  <c r="S69" i="1" s="1"/>
  <c r="M69" i="4"/>
  <c r="T69" i="1" s="1"/>
  <c r="J70" i="4"/>
  <c r="Q70" i="1" s="1"/>
  <c r="K70" i="4"/>
  <c r="R70" i="1" s="1"/>
  <c r="L70" i="4"/>
  <c r="S70" i="1" s="1"/>
  <c r="M70" i="4"/>
  <c r="T70" i="1" s="1"/>
  <c r="J71" i="4"/>
  <c r="Q71" i="1" s="1"/>
  <c r="K71" i="4"/>
  <c r="R71" i="1" s="1"/>
  <c r="L71" i="4"/>
  <c r="S71" i="1" s="1"/>
  <c r="M71" i="4"/>
  <c r="T71" i="1" s="1"/>
  <c r="J72" i="4"/>
  <c r="Q72" i="1" s="1"/>
  <c r="K72" i="4"/>
  <c r="R72" i="1" s="1"/>
  <c r="L72" i="4"/>
  <c r="S72" i="1" s="1"/>
  <c r="M72" i="4"/>
  <c r="T72" i="1" s="1"/>
  <c r="J73" i="4"/>
  <c r="Q73" i="1" s="1"/>
  <c r="K73" i="4"/>
  <c r="R73" i="1" s="1"/>
  <c r="L73" i="4"/>
  <c r="S73" i="1" s="1"/>
  <c r="M73" i="4"/>
  <c r="T73" i="1" s="1"/>
  <c r="J74" i="4"/>
  <c r="Q74" i="1" s="1"/>
  <c r="K74" i="4"/>
  <c r="R74" i="1" s="1"/>
  <c r="L74" i="4"/>
  <c r="S74" i="1" s="1"/>
  <c r="M74" i="4"/>
  <c r="T74" i="1" s="1"/>
  <c r="J75" i="4"/>
  <c r="Q75" i="1" s="1"/>
  <c r="K75" i="4"/>
  <c r="R75" i="1" s="1"/>
  <c r="L75" i="4"/>
  <c r="S75" i="1" s="1"/>
  <c r="M75" i="4"/>
  <c r="T75" i="1" s="1"/>
  <c r="J76" i="4"/>
  <c r="Q76" i="1" s="1"/>
  <c r="K76" i="4"/>
  <c r="R76" i="1" s="1"/>
  <c r="L76" i="4"/>
  <c r="S76" i="1" s="1"/>
  <c r="M76" i="4"/>
  <c r="T76" i="1" s="1"/>
  <c r="J77" i="4"/>
  <c r="Q77" i="1" s="1"/>
  <c r="K77" i="4"/>
  <c r="R77" i="1" s="1"/>
  <c r="L77" i="4"/>
  <c r="S77" i="1" s="1"/>
  <c r="M77" i="4"/>
  <c r="T77" i="1" s="1"/>
  <c r="J78" i="4"/>
  <c r="Q78" i="1" s="1"/>
  <c r="K78" i="4"/>
  <c r="R78" i="1" s="1"/>
  <c r="L78" i="4"/>
  <c r="S78" i="1" s="1"/>
  <c r="M78" i="4"/>
  <c r="T78" i="1" s="1"/>
  <c r="J79" i="4"/>
  <c r="Q79" i="1" s="1"/>
  <c r="K79" i="4"/>
  <c r="R79" i="1" s="1"/>
  <c r="L79" i="4"/>
  <c r="S79" i="1" s="1"/>
  <c r="M79" i="4"/>
  <c r="T79" i="1" s="1"/>
  <c r="J80" i="4"/>
  <c r="Q80" i="1" s="1"/>
  <c r="K80" i="4"/>
  <c r="R80" i="1" s="1"/>
  <c r="L80" i="4"/>
  <c r="S80" i="1" s="1"/>
  <c r="M80" i="4"/>
  <c r="T80" i="1" s="1"/>
  <c r="J81" i="4"/>
  <c r="Q81" i="1" s="1"/>
  <c r="K81" i="4"/>
  <c r="R81" i="1" s="1"/>
  <c r="L81" i="4"/>
  <c r="S81" i="1" s="1"/>
  <c r="M81" i="4"/>
  <c r="T81" i="1" s="1"/>
  <c r="J82" i="4"/>
  <c r="Q82" i="1" s="1"/>
  <c r="K82" i="4"/>
  <c r="R82" i="1" s="1"/>
  <c r="L82" i="4"/>
  <c r="S82" i="1" s="1"/>
  <c r="M82" i="4"/>
  <c r="T82" i="1" s="1"/>
  <c r="J83" i="4"/>
  <c r="Q83" i="1" s="1"/>
  <c r="K83" i="4"/>
  <c r="R83" i="1" s="1"/>
  <c r="L83" i="4"/>
  <c r="S83" i="1" s="1"/>
  <c r="M83" i="4"/>
  <c r="T83" i="1" s="1"/>
  <c r="J84" i="4"/>
  <c r="Q84" i="1" s="1"/>
  <c r="K84" i="4"/>
  <c r="R84" i="1" s="1"/>
  <c r="L84" i="4"/>
  <c r="S84" i="1" s="1"/>
  <c r="M84" i="4"/>
  <c r="T84" i="1" s="1"/>
  <c r="J86" i="4"/>
  <c r="Q86" i="1" s="1"/>
  <c r="K86" i="4"/>
  <c r="R86" i="1" s="1"/>
  <c r="L86" i="4"/>
  <c r="S86" i="1" s="1"/>
  <c r="M86" i="4"/>
  <c r="T86" i="1" s="1"/>
  <c r="J87" i="4"/>
  <c r="Q87" i="1" s="1"/>
  <c r="K87" i="4"/>
  <c r="R87" i="1" s="1"/>
  <c r="L87" i="4"/>
  <c r="S87" i="1" s="1"/>
  <c r="M87" i="4"/>
  <c r="T87" i="1" s="1"/>
  <c r="J88" i="4"/>
  <c r="Q88" i="1" s="1"/>
  <c r="K88" i="4"/>
  <c r="R88" i="1" s="1"/>
  <c r="L88" i="4"/>
  <c r="S88" i="1" s="1"/>
  <c r="M88" i="4"/>
  <c r="T88" i="1" s="1"/>
  <c r="J89" i="4"/>
  <c r="Q89" i="1" s="1"/>
  <c r="K89" i="4"/>
  <c r="R89" i="1" s="1"/>
  <c r="L89" i="4"/>
  <c r="S89" i="1" s="1"/>
  <c r="M89" i="4"/>
  <c r="T89" i="1" s="1"/>
  <c r="J90" i="4"/>
  <c r="Q90" i="1" s="1"/>
  <c r="K90" i="4"/>
  <c r="R90" i="1" s="1"/>
  <c r="L90" i="4"/>
  <c r="S90" i="1" s="1"/>
  <c r="M90" i="4"/>
  <c r="T90" i="1" s="1"/>
  <c r="J91" i="4"/>
  <c r="Q91" i="1" s="1"/>
  <c r="K91" i="4"/>
  <c r="R91" i="1" s="1"/>
  <c r="L91" i="4"/>
  <c r="S91" i="1" s="1"/>
  <c r="M91" i="4"/>
  <c r="T91" i="1" s="1"/>
  <c r="J92" i="4"/>
  <c r="Q92" i="1" s="1"/>
  <c r="K92" i="4"/>
  <c r="R92" i="1" s="1"/>
  <c r="L92" i="4"/>
  <c r="S92" i="1" s="1"/>
  <c r="M92" i="4"/>
  <c r="T92" i="1" s="1"/>
  <c r="J93" i="4"/>
  <c r="Q93" i="1" s="1"/>
  <c r="K93" i="4"/>
  <c r="R93" i="1" s="1"/>
  <c r="L93" i="4"/>
  <c r="S93" i="1" s="1"/>
  <c r="M93" i="4"/>
  <c r="T93" i="1" s="1"/>
  <c r="J94" i="4"/>
  <c r="Q94" i="1" s="1"/>
  <c r="K94" i="4"/>
  <c r="R94" i="1" s="1"/>
  <c r="L94" i="4"/>
  <c r="S94" i="1" s="1"/>
  <c r="M94" i="4"/>
  <c r="T94" i="1" s="1"/>
  <c r="J95" i="4"/>
  <c r="Q95" i="1" s="1"/>
  <c r="K95" i="4"/>
  <c r="R95" i="1" s="1"/>
  <c r="L95" i="4"/>
  <c r="S95" i="1" s="1"/>
  <c r="M95" i="4"/>
  <c r="T95" i="1" s="1"/>
  <c r="J96" i="4"/>
  <c r="Q96" i="1" s="1"/>
  <c r="K96" i="4"/>
  <c r="R96" i="1" s="1"/>
  <c r="L96" i="4"/>
  <c r="S96" i="1" s="1"/>
  <c r="M96" i="4"/>
  <c r="T96" i="1" s="1"/>
  <c r="J97" i="4"/>
  <c r="Q97" i="1" s="1"/>
  <c r="K97" i="4"/>
  <c r="R97" i="1" s="1"/>
  <c r="L97" i="4"/>
  <c r="S97" i="1" s="1"/>
  <c r="M97" i="4"/>
  <c r="T97" i="1" s="1"/>
  <c r="J98" i="4"/>
  <c r="Q98" i="1" s="1"/>
  <c r="K98" i="4"/>
  <c r="R98" i="1" s="1"/>
  <c r="L98" i="4"/>
  <c r="S98" i="1" s="1"/>
  <c r="M98" i="4"/>
  <c r="T98" i="1" s="1"/>
  <c r="J99" i="4"/>
  <c r="Q99" i="1" s="1"/>
  <c r="K99" i="4"/>
  <c r="R99" i="1" s="1"/>
  <c r="L99" i="4"/>
  <c r="S99" i="1" s="1"/>
  <c r="M99" i="4"/>
  <c r="T99" i="1" s="1"/>
  <c r="J100" i="4"/>
  <c r="Q100" i="1" s="1"/>
  <c r="K100" i="4"/>
  <c r="R100" i="1" s="1"/>
  <c r="L100" i="4"/>
  <c r="S100" i="1" s="1"/>
  <c r="M100" i="4"/>
  <c r="T100" i="1" s="1"/>
  <c r="J101" i="4"/>
  <c r="Q101" i="1" s="1"/>
  <c r="K101" i="4"/>
  <c r="R101" i="1" s="1"/>
  <c r="L101" i="4"/>
  <c r="S101" i="1" s="1"/>
  <c r="M101" i="4"/>
  <c r="T101" i="1" s="1"/>
  <c r="J102" i="4"/>
  <c r="Q102" i="1" s="1"/>
  <c r="K102" i="4"/>
  <c r="R102" i="1" s="1"/>
  <c r="L102" i="4"/>
  <c r="S102" i="1" s="1"/>
  <c r="M102" i="4"/>
  <c r="T102" i="1" s="1"/>
  <c r="J103" i="4"/>
  <c r="Q103" i="1" s="1"/>
  <c r="K103" i="4"/>
  <c r="R103" i="1" s="1"/>
  <c r="L103" i="4"/>
  <c r="S103" i="1" s="1"/>
  <c r="M103" i="4"/>
  <c r="T103" i="1" s="1"/>
  <c r="J104" i="4"/>
  <c r="Q104" i="1" s="1"/>
  <c r="K104" i="4"/>
  <c r="R104" i="1" s="1"/>
  <c r="L104" i="4"/>
  <c r="S104" i="1" s="1"/>
  <c r="M104" i="4"/>
  <c r="T104" i="1" s="1"/>
  <c r="J105" i="4"/>
  <c r="Q105" i="1" s="1"/>
  <c r="K105" i="4"/>
  <c r="R105" i="1" s="1"/>
  <c r="L105" i="4"/>
  <c r="S105" i="1" s="1"/>
  <c r="M105" i="4"/>
  <c r="T105" i="1" s="1"/>
  <c r="K64" i="4"/>
  <c r="R64" i="1" s="1"/>
  <c r="L64" i="4"/>
  <c r="S64" i="1" s="1"/>
  <c r="M64" i="4"/>
  <c r="T64" i="1" s="1"/>
  <c r="J64" i="4"/>
  <c r="Q64" i="1" s="1"/>
  <c r="Q64" i="4"/>
  <c r="X64" i="1" s="1"/>
  <c r="R64" i="4"/>
  <c r="Y64" i="1" s="1"/>
  <c r="S64" i="4"/>
  <c r="Z64" i="1" s="1"/>
  <c r="T64" i="4"/>
  <c r="AA64" i="1" s="1"/>
  <c r="Q65" i="4"/>
  <c r="X65" i="1" s="1"/>
  <c r="R65" i="4"/>
  <c r="Y65" i="1" s="1"/>
  <c r="S65" i="4"/>
  <c r="Z65" i="1" s="1"/>
  <c r="T65" i="4"/>
  <c r="AA65" i="1" s="1"/>
  <c r="Q66" i="4"/>
  <c r="X66" i="1" s="1"/>
  <c r="R66" i="4"/>
  <c r="Y66" i="1" s="1"/>
  <c r="S66" i="4"/>
  <c r="Z66" i="1" s="1"/>
  <c r="T66" i="4"/>
  <c r="AA66" i="1" s="1"/>
  <c r="Q67" i="4"/>
  <c r="X67" i="1" s="1"/>
  <c r="R67" i="4"/>
  <c r="Y67" i="1" s="1"/>
  <c r="S67" i="4"/>
  <c r="Z67" i="1" s="1"/>
  <c r="T67" i="4"/>
  <c r="AA67" i="1" s="1"/>
  <c r="Q68" i="4"/>
  <c r="X68" i="1" s="1"/>
  <c r="R68" i="4"/>
  <c r="Y68" i="1" s="1"/>
  <c r="S68" i="4"/>
  <c r="Z68" i="1" s="1"/>
  <c r="T68" i="4"/>
  <c r="AA68" i="1" s="1"/>
  <c r="Q69" i="4"/>
  <c r="X69" i="1" s="1"/>
  <c r="R69" i="4"/>
  <c r="Y69" i="1" s="1"/>
  <c r="S69" i="4"/>
  <c r="Z69" i="1" s="1"/>
  <c r="T69" i="4"/>
  <c r="AA69" i="1" s="1"/>
  <c r="Q70" i="4"/>
  <c r="X70" i="1" s="1"/>
  <c r="R70" i="4"/>
  <c r="Y70" i="1" s="1"/>
  <c r="S70" i="4"/>
  <c r="Z70" i="1" s="1"/>
  <c r="T70" i="4"/>
  <c r="AA70" i="1" s="1"/>
  <c r="Q71" i="4"/>
  <c r="X71" i="1" s="1"/>
  <c r="R71" i="4"/>
  <c r="Y71" i="1" s="1"/>
  <c r="S71" i="4"/>
  <c r="Z71" i="1" s="1"/>
  <c r="T71" i="4"/>
  <c r="AA71" i="1" s="1"/>
  <c r="Q72" i="4"/>
  <c r="X72" i="1" s="1"/>
  <c r="R72" i="4"/>
  <c r="Y72" i="1" s="1"/>
  <c r="S72" i="4"/>
  <c r="Z72" i="1" s="1"/>
  <c r="T72" i="4"/>
  <c r="AA72" i="1" s="1"/>
  <c r="Q73" i="4"/>
  <c r="X73" i="1" s="1"/>
  <c r="R73" i="4"/>
  <c r="Y73" i="1" s="1"/>
  <c r="S73" i="4"/>
  <c r="Z73" i="1" s="1"/>
  <c r="T73" i="4"/>
  <c r="AA73" i="1" s="1"/>
  <c r="Q74" i="4"/>
  <c r="X74" i="1" s="1"/>
  <c r="R74" i="4"/>
  <c r="Y74" i="1" s="1"/>
  <c r="S74" i="4"/>
  <c r="Z74" i="1" s="1"/>
  <c r="T74" i="4"/>
  <c r="AA74" i="1" s="1"/>
  <c r="Q75" i="4"/>
  <c r="X75" i="1" s="1"/>
  <c r="R75" i="4"/>
  <c r="Y75" i="1" s="1"/>
  <c r="S75" i="4"/>
  <c r="Z75" i="1" s="1"/>
  <c r="T75" i="4"/>
  <c r="AA75" i="1" s="1"/>
  <c r="Q76" i="4"/>
  <c r="X76" i="1" s="1"/>
  <c r="R76" i="4"/>
  <c r="Y76" i="1" s="1"/>
  <c r="S76" i="4"/>
  <c r="Z76" i="1" s="1"/>
  <c r="T76" i="4"/>
  <c r="AA76" i="1" s="1"/>
  <c r="Q77" i="4"/>
  <c r="X77" i="1" s="1"/>
  <c r="R77" i="4"/>
  <c r="Y77" i="1" s="1"/>
  <c r="S77" i="4"/>
  <c r="Z77" i="1" s="1"/>
  <c r="T77" i="4"/>
  <c r="AA77" i="1" s="1"/>
  <c r="Q78" i="4"/>
  <c r="X78" i="1" s="1"/>
  <c r="R78" i="4"/>
  <c r="Y78" i="1" s="1"/>
  <c r="S78" i="4"/>
  <c r="Z78" i="1" s="1"/>
  <c r="T78" i="4"/>
  <c r="AA78" i="1" s="1"/>
  <c r="Q79" i="4"/>
  <c r="X79" i="1" s="1"/>
  <c r="R79" i="4"/>
  <c r="Y79" i="1" s="1"/>
  <c r="S79" i="4"/>
  <c r="Z79" i="1" s="1"/>
  <c r="T79" i="4"/>
  <c r="AA79" i="1" s="1"/>
  <c r="Q80" i="4"/>
  <c r="X80" i="1" s="1"/>
  <c r="R80" i="4"/>
  <c r="Y80" i="1" s="1"/>
  <c r="S80" i="4"/>
  <c r="Z80" i="1" s="1"/>
  <c r="T80" i="4"/>
  <c r="AA80" i="1" s="1"/>
  <c r="Q81" i="4"/>
  <c r="X81" i="1" s="1"/>
  <c r="R81" i="4"/>
  <c r="Y81" i="1" s="1"/>
  <c r="S81" i="4"/>
  <c r="Z81" i="1" s="1"/>
  <c r="T81" i="4"/>
  <c r="AA81" i="1" s="1"/>
  <c r="Q82" i="4"/>
  <c r="X82" i="1" s="1"/>
  <c r="R82" i="4"/>
  <c r="Y82" i="1" s="1"/>
  <c r="S82" i="4"/>
  <c r="Z82" i="1" s="1"/>
  <c r="T82" i="4"/>
  <c r="AA82" i="1" s="1"/>
  <c r="Q83" i="4"/>
  <c r="X83" i="1" s="1"/>
  <c r="R83" i="4"/>
  <c r="Y83" i="1" s="1"/>
  <c r="S83" i="4"/>
  <c r="Z83" i="1" s="1"/>
  <c r="T83" i="4"/>
  <c r="AA83" i="1" s="1"/>
  <c r="Q84" i="4"/>
  <c r="X84" i="1" s="1"/>
  <c r="R84" i="4"/>
  <c r="Y84" i="1" s="1"/>
  <c r="S84" i="4"/>
  <c r="Z84" i="1" s="1"/>
  <c r="T84" i="4"/>
  <c r="AA84" i="1" s="1"/>
  <c r="Q86" i="4"/>
  <c r="X86" i="1" s="1"/>
  <c r="R86" i="4"/>
  <c r="Y86" i="1" s="1"/>
  <c r="S86" i="4"/>
  <c r="Z86" i="1" s="1"/>
  <c r="T86" i="4"/>
  <c r="AA86" i="1" s="1"/>
  <c r="Q87" i="4"/>
  <c r="X87" i="1" s="1"/>
  <c r="R87" i="4"/>
  <c r="Y87" i="1" s="1"/>
  <c r="S87" i="4"/>
  <c r="Z87" i="1" s="1"/>
  <c r="T87" i="4"/>
  <c r="AA87" i="1" s="1"/>
  <c r="Q88" i="4"/>
  <c r="X88" i="1" s="1"/>
  <c r="R88" i="4"/>
  <c r="Y88" i="1" s="1"/>
  <c r="S88" i="4"/>
  <c r="Z88" i="1" s="1"/>
  <c r="T88" i="4"/>
  <c r="AA88" i="1" s="1"/>
  <c r="Q89" i="4"/>
  <c r="X89" i="1" s="1"/>
  <c r="R89" i="4"/>
  <c r="Y89" i="1" s="1"/>
  <c r="S89" i="4"/>
  <c r="Z89" i="1" s="1"/>
  <c r="T89" i="4"/>
  <c r="AA89" i="1" s="1"/>
  <c r="Q90" i="4"/>
  <c r="X90" i="1" s="1"/>
  <c r="R90" i="4"/>
  <c r="Y90" i="1" s="1"/>
  <c r="S90" i="4"/>
  <c r="Z90" i="1" s="1"/>
  <c r="T90" i="4"/>
  <c r="AA90" i="1" s="1"/>
  <c r="Q91" i="4"/>
  <c r="X91" i="1" s="1"/>
  <c r="R91" i="4"/>
  <c r="Y91" i="1" s="1"/>
  <c r="S91" i="4"/>
  <c r="Z91" i="1" s="1"/>
  <c r="T91" i="4"/>
  <c r="AA91" i="1" s="1"/>
  <c r="Q92" i="4"/>
  <c r="X92" i="1" s="1"/>
  <c r="R92" i="4"/>
  <c r="Y92" i="1" s="1"/>
  <c r="S92" i="4"/>
  <c r="Z92" i="1" s="1"/>
  <c r="T92" i="4"/>
  <c r="AA92" i="1" s="1"/>
  <c r="Q93" i="4"/>
  <c r="X93" i="1" s="1"/>
  <c r="R93" i="4"/>
  <c r="Y93" i="1" s="1"/>
  <c r="S93" i="4"/>
  <c r="Z93" i="1" s="1"/>
  <c r="T93" i="4"/>
  <c r="AA93" i="1" s="1"/>
  <c r="Q94" i="4"/>
  <c r="X94" i="1" s="1"/>
  <c r="R94" i="4"/>
  <c r="Y94" i="1" s="1"/>
  <c r="S94" i="4"/>
  <c r="Z94" i="1" s="1"/>
  <c r="T94" i="4"/>
  <c r="AA94" i="1" s="1"/>
  <c r="Q95" i="4"/>
  <c r="X95" i="1" s="1"/>
  <c r="R95" i="4"/>
  <c r="Y95" i="1" s="1"/>
  <c r="S95" i="4"/>
  <c r="Z95" i="1" s="1"/>
  <c r="T95" i="4"/>
  <c r="AA95" i="1" s="1"/>
  <c r="Q96" i="4"/>
  <c r="X96" i="1" s="1"/>
  <c r="R96" i="4"/>
  <c r="Y96" i="1" s="1"/>
  <c r="S96" i="4"/>
  <c r="Z96" i="1" s="1"/>
  <c r="T96" i="4"/>
  <c r="AA96" i="1" s="1"/>
  <c r="Q97" i="4"/>
  <c r="X97" i="1" s="1"/>
  <c r="R97" i="4"/>
  <c r="Y97" i="1" s="1"/>
  <c r="S97" i="4"/>
  <c r="Z97" i="1" s="1"/>
  <c r="T97" i="4"/>
  <c r="AA97" i="1" s="1"/>
  <c r="Q98" i="4"/>
  <c r="X98" i="1" s="1"/>
  <c r="R98" i="4"/>
  <c r="Y98" i="1" s="1"/>
  <c r="S98" i="4"/>
  <c r="Z98" i="1" s="1"/>
  <c r="T98" i="4"/>
  <c r="AA98" i="1" s="1"/>
  <c r="Q99" i="4"/>
  <c r="X99" i="1" s="1"/>
  <c r="R99" i="4"/>
  <c r="Y99" i="1" s="1"/>
  <c r="S99" i="4"/>
  <c r="Z99" i="1" s="1"/>
  <c r="T99" i="4"/>
  <c r="AA99" i="1" s="1"/>
  <c r="Q100" i="4"/>
  <c r="X100" i="1" s="1"/>
  <c r="R100" i="4"/>
  <c r="Y100" i="1" s="1"/>
  <c r="S100" i="4"/>
  <c r="Z100" i="1" s="1"/>
  <c r="T100" i="4"/>
  <c r="AA100" i="1" s="1"/>
  <c r="Q101" i="4"/>
  <c r="X101" i="1" s="1"/>
  <c r="R101" i="4"/>
  <c r="Y101" i="1" s="1"/>
  <c r="S101" i="4"/>
  <c r="Z101" i="1" s="1"/>
  <c r="T101" i="4"/>
  <c r="AA101" i="1" s="1"/>
  <c r="Q102" i="4"/>
  <c r="X102" i="1" s="1"/>
  <c r="R102" i="4"/>
  <c r="Y102" i="1" s="1"/>
  <c r="S102" i="4"/>
  <c r="Z102" i="1" s="1"/>
  <c r="T102" i="4"/>
  <c r="AA102" i="1" s="1"/>
  <c r="Q103" i="4"/>
  <c r="X103" i="1" s="1"/>
  <c r="R103" i="4"/>
  <c r="Y103" i="1" s="1"/>
  <c r="S103" i="4"/>
  <c r="Z103" i="1" s="1"/>
  <c r="T103" i="4"/>
  <c r="AA103" i="1" s="1"/>
  <c r="Q104" i="4"/>
  <c r="X104" i="1" s="1"/>
  <c r="R104" i="4"/>
  <c r="Y104" i="1" s="1"/>
  <c r="S104" i="4"/>
  <c r="Z104" i="1" s="1"/>
  <c r="T104" i="4"/>
  <c r="AA104" i="1" s="1"/>
  <c r="Q105" i="4"/>
  <c r="X105" i="1" s="1"/>
  <c r="R105" i="4"/>
  <c r="Y105" i="1" s="1"/>
  <c r="S105" i="4"/>
  <c r="Z105" i="1" s="1"/>
  <c r="T105" i="4"/>
  <c r="AA105" i="1" s="1"/>
  <c r="P104" i="4"/>
  <c r="W104" i="1" s="1"/>
  <c r="P105" i="4"/>
  <c r="W105" i="1" s="1"/>
  <c r="P65" i="4"/>
  <c r="W65" i="1" s="1"/>
  <c r="P66" i="4"/>
  <c r="W66" i="1" s="1"/>
  <c r="P67" i="4"/>
  <c r="W67" i="1" s="1"/>
  <c r="P68" i="4"/>
  <c r="W68" i="1" s="1"/>
  <c r="P69" i="4"/>
  <c r="W69" i="1" s="1"/>
  <c r="P70" i="4"/>
  <c r="W70" i="1" s="1"/>
  <c r="P71" i="4"/>
  <c r="W71" i="1" s="1"/>
  <c r="P72" i="4"/>
  <c r="W72" i="1" s="1"/>
  <c r="P73" i="4"/>
  <c r="W73" i="1" s="1"/>
  <c r="P74" i="4"/>
  <c r="W74" i="1" s="1"/>
  <c r="P75" i="4"/>
  <c r="W75" i="1" s="1"/>
  <c r="P76" i="4"/>
  <c r="W76" i="1" s="1"/>
  <c r="P77" i="4"/>
  <c r="W77" i="1" s="1"/>
  <c r="P78" i="4"/>
  <c r="W78" i="1" s="1"/>
  <c r="P79" i="4"/>
  <c r="W79" i="1" s="1"/>
  <c r="P80" i="4"/>
  <c r="W80" i="1" s="1"/>
  <c r="P81" i="4"/>
  <c r="W81" i="1" s="1"/>
  <c r="P82" i="4"/>
  <c r="W82" i="1" s="1"/>
  <c r="P83" i="4"/>
  <c r="W83" i="1" s="1"/>
  <c r="P84" i="4"/>
  <c r="W84" i="1" s="1"/>
  <c r="P86" i="4"/>
  <c r="W86" i="1" s="1"/>
  <c r="P87" i="4"/>
  <c r="W87" i="1" s="1"/>
  <c r="P88" i="4"/>
  <c r="W88" i="1" s="1"/>
  <c r="P89" i="4"/>
  <c r="W89" i="1" s="1"/>
  <c r="P90" i="4"/>
  <c r="W90" i="1" s="1"/>
  <c r="P91" i="4"/>
  <c r="W91" i="1" s="1"/>
  <c r="P92" i="4"/>
  <c r="W92" i="1" s="1"/>
  <c r="P93" i="4"/>
  <c r="W93" i="1" s="1"/>
  <c r="P94" i="4"/>
  <c r="W94" i="1" s="1"/>
  <c r="P95" i="4"/>
  <c r="W95" i="1" s="1"/>
  <c r="P96" i="4"/>
  <c r="W96" i="1" s="1"/>
  <c r="P97" i="4"/>
  <c r="W97" i="1" s="1"/>
  <c r="P98" i="4"/>
  <c r="W98" i="1" s="1"/>
  <c r="P99" i="4"/>
  <c r="W99" i="1" s="1"/>
  <c r="P100" i="4"/>
  <c r="W100" i="1" s="1"/>
  <c r="P101" i="4"/>
  <c r="W101" i="1" s="1"/>
  <c r="P102" i="4"/>
  <c r="W102" i="1" s="1"/>
  <c r="P103" i="4"/>
  <c r="W103" i="1" s="1"/>
  <c r="P64" i="4"/>
  <c r="W64" i="1" s="1"/>
  <c r="F64" i="4"/>
  <c r="G64" i="4"/>
  <c r="H64" i="4"/>
  <c r="O64" i="1" s="1"/>
  <c r="I64" i="4"/>
  <c r="P64" i="1" s="1"/>
  <c r="O64" i="4"/>
  <c r="F65" i="4"/>
  <c r="G65" i="4"/>
  <c r="H65" i="4"/>
  <c r="O65" i="1" s="1"/>
  <c r="I65" i="4"/>
  <c r="P65" i="1" s="1"/>
  <c r="O65" i="4"/>
  <c r="F66" i="4"/>
  <c r="G66" i="4"/>
  <c r="H66" i="4"/>
  <c r="O66" i="1" s="1"/>
  <c r="I66" i="4"/>
  <c r="P66" i="1" s="1"/>
  <c r="O66" i="4"/>
  <c r="F67" i="4"/>
  <c r="G67" i="4"/>
  <c r="H67" i="4"/>
  <c r="O67" i="1" s="1"/>
  <c r="I67" i="4"/>
  <c r="P67" i="1" s="1"/>
  <c r="O67" i="4"/>
  <c r="F68" i="4"/>
  <c r="G68" i="4"/>
  <c r="H68" i="4"/>
  <c r="O68" i="1" s="1"/>
  <c r="I68" i="4"/>
  <c r="P68" i="1" s="1"/>
  <c r="O68" i="4"/>
  <c r="F69" i="4"/>
  <c r="G69" i="4"/>
  <c r="H69" i="4"/>
  <c r="O69" i="1" s="1"/>
  <c r="I69" i="4"/>
  <c r="P69" i="1" s="1"/>
  <c r="O69" i="4"/>
  <c r="F70" i="4"/>
  <c r="G70" i="4"/>
  <c r="H70" i="4"/>
  <c r="O70" i="1" s="1"/>
  <c r="I70" i="4"/>
  <c r="P70" i="1" s="1"/>
  <c r="O70" i="4"/>
  <c r="F71" i="4"/>
  <c r="G71" i="4"/>
  <c r="H71" i="4"/>
  <c r="O71" i="1" s="1"/>
  <c r="I71" i="4"/>
  <c r="P71" i="1" s="1"/>
  <c r="O71" i="4"/>
  <c r="F72" i="4"/>
  <c r="G72" i="4"/>
  <c r="H72" i="4"/>
  <c r="O72" i="1" s="1"/>
  <c r="I72" i="4"/>
  <c r="P72" i="1" s="1"/>
  <c r="O72" i="4"/>
  <c r="F73" i="4"/>
  <c r="G73" i="4"/>
  <c r="H73" i="4"/>
  <c r="O73" i="1" s="1"/>
  <c r="I73" i="4"/>
  <c r="P73" i="1" s="1"/>
  <c r="O73" i="4"/>
  <c r="F74" i="4"/>
  <c r="G74" i="4"/>
  <c r="H74" i="4"/>
  <c r="O74" i="1" s="1"/>
  <c r="I74" i="4"/>
  <c r="P74" i="1" s="1"/>
  <c r="O74" i="4"/>
  <c r="F75" i="4"/>
  <c r="G75" i="4"/>
  <c r="H75" i="4"/>
  <c r="O75" i="1" s="1"/>
  <c r="I75" i="4"/>
  <c r="P75" i="1" s="1"/>
  <c r="O75" i="4"/>
  <c r="F76" i="4"/>
  <c r="G76" i="4"/>
  <c r="H76" i="4"/>
  <c r="O76" i="1" s="1"/>
  <c r="I76" i="4"/>
  <c r="P76" i="1" s="1"/>
  <c r="O76" i="4"/>
  <c r="F77" i="4"/>
  <c r="G77" i="4"/>
  <c r="H77" i="4"/>
  <c r="O77" i="1" s="1"/>
  <c r="I77" i="4"/>
  <c r="P77" i="1" s="1"/>
  <c r="O77" i="4"/>
  <c r="F78" i="4"/>
  <c r="G78" i="4"/>
  <c r="H78" i="4"/>
  <c r="O78" i="1" s="1"/>
  <c r="I78" i="4"/>
  <c r="P78" i="1" s="1"/>
  <c r="O78" i="4"/>
  <c r="F79" i="4"/>
  <c r="G79" i="4"/>
  <c r="H79" i="4"/>
  <c r="O79" i="1" s="1"/>
  <c r="I79" i="4"/>
  <c r="P79" i="1" s="1"/>
  <c r="O79" i="4"/>
  <c r="F80" i="4"/>
  <c r="G80" i="4"/>
  <c r="H80" i="4"/>
  <c r="O80" i="1" s="1"/>
  <c r="I80" i="4"/>
  <c r="P80" i="1" s="1"/>
  <c r="O80" i="4"/>
  <c r="F81" i="4"/>
  <c r="G81" i="4"/>
  <c r="H81" i="4"/>
  <c r="O81" i="1" s="1"/>
  <c r="I81" i="4"/>
  <c r="P81" i="1" s="1"/>
  <c r="O81" i="4"/>
  <c r="F82" i="4"/>
  <c r="G82" i="4"/>
  <c r="H82" i="4"/>
  <c r="O82" i="1" s="1"/>
  <c r="I82" i="4"/>
  <c r="P82" i="1" s="1"/>
  <c r="O82" i="4"/>
  <c r="F83" i="4"/>
  <c r="G83" i="4"/>
  <c r="H83" i="4"/>
  <c r="O83" i="1" s="1"/>
  <c r="I83" i="4"/>
  <c r="P83" i="1" s="1"/>
  <c r="O83" i="4"/>
  <c r="F84" i="4"/>
  <c r="G84" i="4"/>
  <c r="H84" i="4"/>
  <c r="O84" i="1" s="1"/>
  <c r="I84" i="4"/>
  <c r="P84" i="1" s="1"/>
  <c r="O84" i="4"/>
  <c r="F86" i="4"/>
  <c r="G86" i="4"/>
  <c r="H86" i="4"/>
  <c r="O86" i="1" s="1"/>
  <c r="I86" i="4"/>
  <c r="P86" i="1" s="1"/>
  <c r="O86" i="4"/>
  <c r="F87" i="4"/>
  <c r="G87" i="4"/>
  <c r="H87" i="4"/>
  <c r="O87" i="1" s="1"/>
  <c r="I87" i="4"/>
  <c r="P87" i="1" s="1"/>
  <c r="O87" i="4"/>
  <c r="F88" i="4"/>
  <c r="G88" i="4"/>
  <c r="H88" i="4"/>
  <c r="O88" i="1" s="1"/>
  <c r="I88" i="4"/>
  <c r="P88" i="1" s="1"/>
  <c r="O88" i="4"/>
  <c r="F89" i="4"/>
  <c r="G89" i="4"/>
  <c r="H89" i="4"/>
  <c r="O89" i="1" s="1"/>
  <c r="I89" i="4"/>
  <c r="P89" i="1" s="1"/>
  <c r="O89" i="4"/>
  <c r="F90" i="4"/>
  <c r="G90" i="4"/>
  <c r="H90" i="4"/>
  <c r="O90" i="1" s="1"/>
  <c r="I90" i="4"/>
  <c r="P90" i="1" s="1"/>
  <c r="O90" i="4"/>
  <c r="F91" i="4"/>
  <c r="G91" i="4"/>
  <c r="H91" i="4"/>
  <c r="O91" i="1" s="1"/>
  <c r="I91" i="4"/>
  <c r="P91" i="1" s="1"/>
  <c r="O91" i="4"/>
  <c r="F92" i="4"/>
  <c r="G92" i="4"/>
  <c r="H92" i="4"/>
  <c r="O92" i="1" s="1"/>
  <c r="I92" i="4"/>
  <c r="P92" i="1" s="1"/>
  <c r="O92" i="4"/>
  <c r="F93" i="4"/>
  <c r="G93" i="4"/>
  <c r="H93" i="4"/>
  <c r="O93" i="1" s="1"/>
  <c r="I93" i="4"/>
  <c r="P93" i="1" s="1"/>
  <c r="O93" i="4"/>
  <c r="F94" i="4"/>
  <c r="G94" i="4"/>
  <c r="H94" i="4"/>
  <c r="O94" i="1" s="1"/>
  <c r="I94" i="4"/>
  <c r="P94" i="1" s="1"/>
  <c r="O94" i="4"/>
  <c r="F95" i="4"/>
  <c r="G95" i="4"/>
  <c r="H95" i="4"/>
  <c r="O95" i="1" s="1"/>
  <c r="I95" i="4"/>
  <c r="P95" i="1" s="1"/>
  <c r="O95" i="4"/>
  <c r="F96" i="4"/>
  <c r="G96" i="4"/>
  <c r="H96" i="4"/>
  <c r="O96" i="1" s="1"/>
  <c r="I96" i="4"/>
  <c r="P96" i="1" s="1"/>
  <c r="O96" i="4"/>
  <c r="F97" i="4"/>
  <c r="G97" i="4"/>
  <c r="H97" i="4"/>
  <c r="O97" i="1" s="1"/>
  <c r="I97" i="4"/>
  <c r="P97" i="1" s="1"/>
  <c r="O97" i="4"/>
  <c r="F98" i="4"/>
  <c r="G98" i="4"/>
  <c r="H98" i="4"/>
  <c r="O98" i="1" s="1"/>
  <c r="I98" i="4"/>
  <c r="P98" i="1" s="1"/>
  <c r="O98" i="4"/>
  <c r="F99" i="4"/>
  <c r="G99" i="4"/>
  <c r="H99" i="4"/>
  <c r="O99" i="1" s="1"/>
  <c r="I99" i="4"/>
  <c r="P99" i="1" s="1"/>
  <c r="O99" i="4"/>
  <c r="F100" i="4"/>
  <c r="G100" i="4"/>
  <c r="H100" i="4"/>
  <c r="O100" i="1" s="1"/>
  <c r="I100" i="4"/>
  <c r="P100" i="1" s="1"/>
  <c r="O100" i="4"/>
  <c r="F101" i="4"/>
  <c r="G101" i="4"/>
  <c r="H101" i="4"/>
  <c r="O101" i="1" s="1"/>
  <c r="I101" i="4"/>
  <c r="P101" i="1" s="1"/>
  <c r="O101" i="4"/>
  <c r="F102" i="4"/>
  <c r="G102" i="4"/>
  <c r="H102" i="4"/>
  <c r="O102" i="1" s="1"/>
  <c r="I102" i="4"/>
  <c r="P102" i="1" s="1"/>
  <c r="O102" i="4"/>
  <c r="F103" i="4"/>
  <c r="G103" i="4"/>
  <c r="H103" i="4"/>
  <c r="O103" i="1" s="1"/>
  <c r="I103" i="4"/>
  <c r="P103" i="1" s="1"/>
  <c r="O103" i="4"/>
  <c r="F104" i="4"/>
  <c r="G104" i="4"/>
  <c r="H104" i="4"/>
  <c r="O104" i="1" s="1"/>
  <c r="I104" i="4"/>
  <c r="P104" i="1" s="1"/>
  <c r="O104" i="4"/>
  <c r="F105" i="4"/>
  <c r="G105" i="4"/>
  <c r="H105" i="4"/>
  <c r="O105" i="1" s="1"/>
  <c r="I105" i="4"/>
  <c r="P105" i="1" s="1"/>
  <c r="O105" i="4"/>
  <c r="C65" i="4"/>
  <c r="C177" i="4" s="1"/>
  <c r="C66" i="4"/>
  <c r="C178" i="4" s="1"/>
  <c r="C67" i="4"/>
  <c r="C179" i="4" s="1"/>
  <c r="C68" i="4"/>
  <c r="C180" i="4" s="1"/>
  <c r="C69" i="4"/>
  <c r="C181" i="4" s="1"/>
  <c r="C70" i="4"/>
  <c r="C182" i="4" s="1"/>
  <c r="C71" i="4"/>
  <c r="C183" i="4" s="1"/>
  <c r="C72" i="4"/>
  <c r="C184" i="4" s="1"/>
  <c r="C73" i="4"/>
  <c r="C185" i="4" s="1"/>
  <c r="C74" i="4"/>
  <c r="C186" i="4" s="1"/>
  <c r="C75" i="4"/>
  <c r="C187" i="4" s="1"/>
  <c r="C76" i="4"/>
  <c r="C188" i="4" s="1"/>
  <c r="C77" i="4"/>
  <c r="C189" i="4" s="1"/>
  <c r="C78" i="4"/>
  <c r="C190" i="4" s="1"/>
  <c r="C79" i="4"/>
  <c r="C191" i="4" s="1"/>
  <c r="C80" i="4"/>
  <c r="C192" i="4" s="1"/>
  <c r="C81" i="4"/>
  <c r="C193" i="4" s="1"/>
  <c r="C82" i="4"/>
  <c r="C194" i="4" s="1"/>
  <c r="C83" i="4"/>
  <c r="C195" i="4" s="1"/>
  <c r="C84" i="4"/>
  <c r="C196" i="4" s="1"/>
  <c r="C86" i="4"/>
  <c r="C198" i="4" s="1"/>
  <c r="C87" i="4"/>
  <c r="C199" i="4" s="1"/>
  <c r="C88" i="4"/>
  <c r="C200" i="4" s="1"/>
  <c r="C89" i="4"/>
  <c r="C201" i="4" s="1"/>
  <c r="C90" i="4"/>
  <c r="C202" i="4" s="1"/>
  <c r="C91" i="4"/>
  <c r="C203" i="4" s="1"/>
  <c r="C92" i="4"/>
  <c r="C204" i="4" s="1"/>
  <c r="C93" i="4"/>
  <c r="C205" i="4" s="1"/>
  <c r="C94" i="4"/>
  <c r="C206" i="4" s="1"/>
  <c r="C95" i="4"/>
  <c r="C207" i="4" s="1"/>
  <c r="C96" i="4"/>
  <c r="C208" i="4" s="1"/>
  <c r="C97" i="4"/>
  <c r="C209" i="4" s="1"/>
  <c r="C98" i="4"/>
  <c r="C210" i="4" s="1"/>
  <c r="C99" i="4"/>
  <c r="C211" i="4" s="1"/>
  <c r="C100" i="4"/>
  <c r="C212" i="4" s="1"/>
  <c r="C101" i="4"/>
  <c r="C213" i="4" s="1"/>
  <c r="C102" i="4"/>
  <c r="C214" i="4" s="1"/>
  <c r="C103" i="4"/>
  <c r="C215" i="4" s="1"/>
  <c r="C104" i="4"/>
  <c r="C216" i="4" s="1"/>
  <c r="C105" i="4"/>
  <c r="C217" i="4" s="1"/>
  <c r="C64" i="4"/>
  <c r="C176" i="4" s="1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64" i="4"/>
  <c r="A332" i="1" l="1"/>
  <c r="A319" i="1" l="1"/>
  <c r="A318" i="1"/>
  <c r="AA295" i="1" l="1"/>
  <c r="Z295" i="1"/>
  <c r="Y295" i="1"/>
  <c r="X295" i="1"/>
  <c r="W295" i="1"/>
  <c r="U295" i="1"/>
  <c r="T295" i="1"/>
  <c r="S295" i="1"/>
  <c r="R295" i="1"/>
  <c r="Q295" i="1"/>
  <c r="P295" i="1"/>
  <c r="O295" i="1"/>
  <c r="L295" i="1"/>
  <c r="N295" i="1" s="1"/>
  <c r="K295" i="1"/>
  <c r="M295" i="1" s="1"/>
  <c r="A295" i="1"/>
  <c r="K9" i="1" l="1"/>
  <c r="M9" i="1" s="1"/>
  <c r="L9" i="1"/>
  <c r="N9" i="1" s="1"/>
  <c r="O9" i="1"/>
  <c r="P9" i="1"/>
  <c r="Q9" i="1"/>
  <c r="R9" i="1"/>
  <c r="S9" i="1"/>
  <c r="T9" i="1"/>
  <c r="U9" i="1"/>
  <c r="W9" i="1"/>
  <c r="X9" i="1"/>
  <c r="Y9" i="1"/>
  <c r="Z9" i="1"/>
  <c r="AA9" i="1"/>
  <c r="K10" i="1"/>
  <c r="M10" i="1" s="1"/>
  <c r="L10" i="1"/>
  <c r="N10" i="1" s="1"/>
  <c r="O10" i="1"/>
  <c r="P10" i="1"/>
  <c r="Q10" i="1"/>
  <c r="R10" i="1"/>
  <c r="S10" i="1"/>
  <c r="T10" i="1"/>
  <c r="U10" i="1"/>
  <c r="W10" i="1"/>
  <c r="X10" i="1"/>
  <c r="Y10" i="1"/>
  <c r="Z10" i="1"/>
  <c r="AA10" i="1"/>
  <c r="K11" i="1"/>
  <c r="M11" i="1" s="1"/>
  <c r="L11" i="1"/>
  <c r="N11" i="1" s="1"/>
  <c r="O11" i="1"/>
  <c r="P11" i="1"/>
  <c r="Q11" i="1"/>
  <c r="R11" i="1"/>
  <c r="S11" i="1"/>
  <c r="T11" i="1"/>
  <c r="U11" i="1"/>
  <c r="W11" i="1"/>
  <c r="X11" i="1"/>
  <c r="Y11" i="1"/>
  <c r="Z11" i="1"/>
  <c r="AA11" i="1"/>
  <c r="K12" i="1"/>
  <c r="M12" i="1" s="1"/>
  <c r="L12" i="1"/>
  <c r="N12" i="1" s="1"/>
  <c r="O12" i="1"/>
  <c r="P12" i="1"/>
  <c r="Q12" i="1"/>
  <c r="R12" i="1"/>
  <c r="S12" i="1"/>
  <c r="T12" i="1"/>
  <c r="U12" i="1"/>
  <c r="W12" i="1"/>
  <c r="X12" i="1"/>
  <c r="Y12" i="1"/>
  <c r="Z12" i="1"/>
  <c r="AA12" i="1"/>
  <c r="K13" i="1"/>
  <c r="M13" i="1" s="1"/>
  <c r="L13" i="1"/>
  <c r="N13" i="1" s="1"/>
  <c r="O13" i="1"/>
  <c r="P13" i="1"/>
  <c r="Q13" i="1"/>
  <c r="R13" i="1"/>
  <c r="S13" i="1"/>
  <c r="T13" i="1"/>
  <c r="U13" i="1"/>
  <c r="W13" i="1"/>
  <c r="X13" i="1"/>
  <c r="Y13" i="1"/>
  <c r="Z13" i="1"/>
  <c r="AA13" i="1"/>
  <c r="K14" i="1"/>
  <c r="M14" i="1" s="1"/>
  <c r="L14" i="1"/>
  <c r="N14" i="1" s="1"/>
  <c r="O14" i="1"/>
  <c r="P14" i="1"/>
  <c r="Q14" i="1"/>
  <c r="R14" i="1"/>
  <c r="S14" i="1"/>
  <c r="T14" i="1"/>
  <c r="U14" i="1"/>
  <c r="W14" i="1"/>
  <c r="X14" i="1"/>
  <c r="Y14" i="1"/>
  <c r="Z14" i="1"/>
  <c r="AA14" i="1"/>
  <c r="K15" i="1"/>
  <c r="M15" i="1" s="1"/>
  <c r="L15" i="1"/>
  <c r="N15" i="1" s="1"/>
  <c r="O15" i="1"/>
  <c r="P15" i="1"/>
  <c r="Q15" i="1"/>
  <c r="R15" i="1"/>
  <c r="S15" i="1"/>
  <c r="T15" i="1"/>
  <c r="U15" i="1"/>
  <c r="W15" i="1"/>
  <c r="X15" i="1"/>
  <c r="Y15" i="1"/>
  <c r="Z15" i="1"/>
  <c r="AA15" i="1"/>
  <c r="K16" i="1"/>
  <c r="M16" i="1" s="1"/>
  <c r="L16" i="1"/>
  <c r="N16" i="1" s="1"/>
  <c r="O16" i="1"/>
  <c r="P16" i="1"/>
  <c r="Q16" i="1"/>
  <c r="R16" i="1"/>
  <c r="S16" i="1"/>
  <c r="T16" i="1"/>
  <c r="U16" i="1"/>
  <c r="W16" i="1"/>
  <c r="X16" i="1"/>
  <c r="Y16" i="1"/>
  <c r="Z16" i="1"/>
  <c r="AA16" i="1"/>
  <c r="K17" i="1"/>
  <c r="M17" i="1" s="1"/>
  <c r="L17" i="1"/>
  <c r="N17" i="1" s="1"/>
  <c r="O17" i="1"/>
  <c r="P17" i="1"/>
  <c r="Q17" i="1"/>
  <c r="R17" i="1"/>
  <c r="S17" i="1"/>
  <c r="T17" i="1"/>
  <c r="U17" i="1"/>
  <c r="W17" i="1"/>
  <c r="X17" i="1"/>
  <c r="Y17" i="1"/>
  <c r="Z17" i="1"/>
  <c r="AA17" i="1"/>
  <c r="K18" i="1"/>
  <c r="M18" i="1" s="1"/>
  <c r="L18" i="1"/>
  <c r="N18" i="1" s="1"/>
  <c r="O18" i="1"/>
  <c r="P18" i="1"/>
  <c r="Q18" i="1"/>
  <c r="R18" i="1"/>
  <c r="S18" i="1"/>
  <c r="T18" i="1"/>
  <c r="U18" i="1"/>
  <c r="W18" i="1"/>
  <c r="X18" i="1"/>
  <c r="Y18" i="1"/>
  <c r="Z18" i="1"/>
  <c r="AA18" i="1"/>
  <c r="K19" i="1"/>
  <c r="M19" i="1" s="1"/>
  <c r="L19" i="1"/>
  <c r="N19" i="1" s="1"/>
  <c r="O19" i="1"/>
  <c r="P19" i="1"/>
  <c r="Q19" i="1"/>
  <c r="R19" i="1"/>
  <c r="S19" i="1"/>
  <c r="T19" i="1"/>
  <c r="U19" i="1"/>
  <c r="W19" i="1"/>
  <c r="X19" i="1"/>
  <c r="Y19" i="1"/>
  <c r="Z19" i="1"/>
  <c r="AA19" i="1"/>
  <c r="K20" i="1"/>
  <c r="M20" i="1" s="1"/>
  <c r="L20" i="1"/>
  <c r="N20" i="1" s="1"/>
  <c r="O20" i="1"/>
  <c r="P20" i="1"/>
  <c r="Q20" i="1"/>
  <c r="R20" i="1"/>
  <c r="S20" i="1"/>
  <c r="T20" i="1"/>
  <c r="U20" i="1"/>
  <c r="W20" i="1"/>
  <c r="X20" i="1"/>
  <c r="Y20" i="1"/>
  <c r="Z20" i="1"/>
  <c r="AA20" i="1"/>
  <c r="K21" i="1"/>
  <c r="M21" i="1" s="1"/>
  <c r="L21" i="1"/>
  <c r="N21" i="1" s="1"/>
  <c r="O21" i="1"/>
  <c r="P21" i="1"/>
  <c r="Q21" i="1"/>
  <c r="R21" i="1"/>
  <c r="S21" i="1"/>
  <c r="T21" i="1"/>
  <c r="U21" i="1"/>
  <c r="W21" i="1"/>
  <c r="X21" i="1"/>
  <c r="Y21" i="1"/>
  <c r="Z21" i="1"/>
  <c r="AA21" i="1"/>
  <c r="K22" i="1"/>
  <c r="M22" i="1" s="1"/>
  <c r="L22" i="1"/>
  <c r="N22" i="1" s="1"/>
  <c r="O22" i="1"/>
  <c r="P22" i="1"/>
  <c r="Q22" i="1"/>
  <c r="R22" i="1"/>
  <c r="S22" i="1"/>
  <c r="T22" i="1"/>
  <c r="U22" i="1"/>
  <c r="W22" i="1"/>
  <c r="X22" i="1"/>
  <c r="Y22" i="1"/>
  <c r="Z22" i="1"/>
  <c r="AA22" i="1"/>
  <c r="K23" i="1"/>
  <c r="M23" i="1" s="1"/>
  <c r="L23" i="1"/>
  <c r="N23" i="1" s="1"/>
  <c r="O23" i="1"/>
  <c r="P23" i="1"/>
  <c r="Q23" i="1"/>
  <c r="R23" i="1"/>
  <c r="S23" i="1"/>
  <c r="T23" i="1"/>
  <c r="U23" i="1"/>
  <c r="W23" i="1"/>
  <c r="X23" i="1"/>
  <c r="Y23" i="1"/>
  <c r="Z23" i="1"/>
  <c r="AA23" i="1"/>
  <c r="K24" i="1"/>
  <c r="M24" i="1" s="1"/>
  <c r="L24" i="1"/>
  <c r="N24" i="1" s="1"/>
  <c r="O24" i="1"/>
  <c r="P24" i="1"/>
  <c r="Q24" i="1"/>
  <c r="R24" i="1"/>
  <c r="S24" i="1"/>
  <c r="T24" i="1"/>
  <c r="U24" i="1"/>
  <c r="W24" i="1"/>
  <c r="X24" i="1"/>
  <c r="Y24" i="1"/>
  <c r="Z24" i="1"/>
  <c r="AA24" i="1"/>
  <c r="K25" i="1"/>
  <c r="M25" i="1" s="1"/>
  <c r="L25" i="1"/>
  <c r="N25" i="1" s="1"/>
  <c r="O25" i="1"/>
  <c r="P25" i="1"/>
  <c r="Q25" i="1"/>
  <c r="R25" i="1"/>
  <c r="S25" i="1"/>
  <c r="T25" i="1"/>
  <c r="U25" i="1"/>
  <c r="W25" i="1"/>
  <c r="X25" i="1"/>
  <c r="Y25" i="1"/>
  <c r="Z25" i="1"/>
  <c r="AA25" i="1"/>
  <c r="K26" i="1"/>
  <c r="M26" i="1" s="1"/>
  <c r="L26" i="1"/>
  <c r="N26" i="1" s="1"/>
  <c r="O26" i="1"/>
  <c r="P26" i="1"/>
  <c r="Q26" i="1"/>
  <c r="R26" i="1"/>
  <c r="S26" i="1"/>
  <c r="T26" i="1"/>
  <c r="U26" i="1"/>
  <c r="W26" i="1"/>
  <c r="X26" i="1"/>
  <c r="Y26" i="1"/>
  <c r="Z26" i="1"/>
  <c r="AA26" i="1"/>
  <c r="K27" i="1"/>
  <c r="M27" i="1" s="1"/>
  <c r="L27" i="1"/>
  <c r="N27" i="1" s="1"/>
  <c r="O27" i="1"/>
  <c r="P27" i="1"/>
  <c r="Q27" i="1"/>
  <c r="R27" i="1"/>
  <c r="S27" i="1"/>
  <c r="T27" i="1"/>
  <c r="U27" i="1"/>
  <c r="W27" i="1"/>
  <c r="X27" i="1"/>
  <c r="Y27" i="1"/>
  <c r="Z27" i="1"/>
  <c r="AA27" i="1"/>
  <c r="K28" i="1"/>
  <c r="M28" i="1" s="1"/>
  <c r="L28" i="1"/>
  <c r="N28" i="1" s="1"/>
  <c r="O28" i="1"/>
  <c r="P28" i="1"/>
  <c r="Q28" i="1"/>
  <c r="R28" i="1"/>
  <c r="S28" i="1"/>
  <c r="T28" i="1"/>
  <c r="U28" i="1"/>
  <c r="W28" i="1"/>
  <c r="X28" i="1"/>
  <c r="Y28" i="1"/>
  <c r="Z28" i="1"/>
  <c r="AA28" i="1"/>
  <c r="K30" i="1"/>
  <c r="M30" i="1" s="1"/>
  <c r="L30" i="1"/>
  <c r="N30" i="1" s="1"/>
  <c r="O30" i="1"/>
  <c r="P30" i="1"/>
  <c r="Q30" i="1"/>
  <c r="R30" i="1"/>
  <c r="S30" i="1"/>
  <c r="T30" i="1"/>
  <c r="U30" i="1"/>
  <c r="W30" i="1"/>
  <c r="X30" i="1"/>
  <c r="Y30" i="1"/>
  <c r="Z30" i="1"/>
  <c r="AA30" i="1"/>
  <c r="K31" i="1"/>
  <c r="M31" i="1" s="1"/>
  <c r="L31" i="1"/>
  <c r="N31" i="1" s="1"/>
  <c r="O31" i="1"/>
  <c r="P31" i="1"/>
  <c r="Q31" i="1"/>
  <c r="R31" i="1"/>
  <c r="S31" i="1"/>
  <c r="T31" i="1"/>
  <c r="U31" i="1"/>
  <c r="W31" i="1"/>
  <c r="X31" i="1"/>
  <c r="Y31" i="1"/>
  <c r="Z31" i="1"/>
  <c r="AA31" i="1"/>
  <c r="K32" i="1"/>
  <c r="M32" i="1" s="1"/>
  <c r="L32" i="1"/>
  <c r="N32" i="1" s="1"/>
  <c r="O32" i="1"/>
  <c r="P32" i="1"/>
  <c r="Q32" i="1"/>
  <c r="R32" i="1"/>
  <c r="S32" i="1"/>
  <c r="T32" i="1"/>
  <c r="U32" i="1"/>
  <c r="W32" i="1"/>
  <c r="X32" i="1"/>
  <c r="Y32" i="1"/>
  <c r="Z32" i="1"/>
  <c r="AA32" i="1"/>
  <c r="K33" i="1"/>
  <c r="M33" i="1" s="1"/>
  <c r="L33" i="1"/>
  <c r="N33" i="1" s="1"/>
  <c r="O33" i="1"/>
  <c r="P33" i="1"/>
  <c r="Q33" i="1"/>
  <c r="R33" i="1"/>
  <c r="S33" i="1"/>
  <c r="T33" i="1"/>
  <c r="U33" i="1"/>
  <c r="W33" i="1"/>
  <c r="X33" i="1"/>
  <c r="Y33" i="1"/>
  <c r="Z33" i="1"/>
  <c r="AA33" i="1"/>
  <c r="K34" i="1"/>
  <c r="M34" i="1" s="1"/>
  <c r="L34" i="1"/>
  <c r="N34" i="1" s="1"/>
  <c r="O34" i="1"/>
  <c r="P34" i="1"/>
  <c r="Q34" i="1"/>
  <c r="R34" i="1"/>
  <c r="S34" i="1"/>
  <c r="T34" i="1"/>
  <c r="U34" i="1"/>
  <c r="W34" i="1"/>
  <c r="X34" i="1"/>
  <c r="Y34" i="1"/>
  <c r="Z34" i="1"/>
  <c r="AA34" i="1"/>
  <c r="K35" i="1"/>
  <c r="M35" i="1" s="1"/>
  <c r="L35" i="1"/>
  <c r="N35" i="1" s="1"/>
  <c r="O35" i="1"/>
  <c r="P35" i="1"/>
  <c r="Q35" i="1"/>
  <c r="R35" i="1"/>
  <c r="S35" i="1"/>
  <c r="T35" i="1"/>
  <c r="U35" i="1"/>
  <c r="W35" i="1"/>
  <c r="X35" i="1"/>
  <c r="Y35" i="1"/>
  <c r="Z35" i="1"/>
  <c r="AA35" i="1"/>
  <c r="K36" i="1"/>
  <c r="M36" i="1" s="1"/>
  <c r="L36" i="1"/>
  <c r="N36" i="1" s="1"/>
  <c r="O36" i="1"/>
  <c r="P36" i="1"/>
  <c r="Q36" i="1"/>
  <c r="R36" i="1"/>
  <c r="S36" i="1"/>
  <c r="T36" i="1"/>
  <c r="U36" i="1"/>
  <c r="W36" i="1"/>
  <c r="X36" i="1"/>
  <c r="Y36" i="1"/>
  <c r="Z36" i="1"/>
  <c r="AA36" i="1"/>
  <c r="K37" i="1"/>
  <c r="M37" i="1" s="1"/>
  <c r="L37" i="1"/>
  <c r="N37" i="1" s="1"/>
  <c r="O37" i="1"/>
  <c r="P37" i="1"/>
  <c r="Q37" i="1"/>
  <c r="R37" i="1"/>
  <c r="S37" i="1"/>
  <c r="T37" i="1"/>
  <c r="U37" i="1"/>
  <c r="W37" i="1"/>
  <c r="X37" i="1"/>
  <c r="Y37" i="1"/>
  <c r="Z37" i="1"/>
  <c r="AA37" i="1"/>
  <c r="K38" i="1"/>
  <c r="M38" i="1" s="1"/>
  <c r="L38" i="1"/>
  <c r="N38" i="1" s="1"/>
  <c r="O38" i="1"/>
  <c r="P38" i="1"/>
  <c r="Q38" i="1"/>
  <c r="R38" i="1"/>
  <c r="S38" i="1"/>
  <c r="T38" i="1"/>
  <c r="U38" i="1"/>
  <c r="W38" i="1"/>
  <c r="X38" i="1"/>
  <c r="Y38" i="1"/>
  <c r="Z38" i="1"/>
  <c r="AA38" i="1"/>
  <c r="K39" i="1"/>
  <c r="M39" i="1" s="1"/>
  <c r="L39" i="1"/>
  <c r="N39" i="1" s="1"/>
  <c r="O39" i="1"/>
  <c r="P39" i="1"/>
  <c r="Q39" i="1"/>
  <c r="R39" i="1"/>
  <c r="S39" i="1"/>
  <c r="T39" i="1"/>
  <c r="U39" i="1"/>
  <c r="W39" i="1"/>
  <c r="X39" i="1"/>
  <c r="Y39" i="1"/>
  <c r="Z39" i="1"/>
  <c r="AA39" i="1"/>
  <c r="K40" i="1"/>
  <c r="M40" i="1" s="1"/>
  <c r="L40" i="1"/>
  <c r="N40" i="1" s="1"/>
  <c r="O40" i="1"/>
  <c r="P40" i="1"/>
  <c r="Q40" i="1"/>
  <c r="R40" i="1"/>
  <c r="S40" i="1"/>
  <c r="T40" i="1"/>
  <c r="U40" i="1"/>
  <c r="W40" i="1"/>
  <c r="X40" i="1"/>
  <c r="Y40" i="1"/>
  <c r="Z40" i="1"/>
  <c r="AA40" i="1"/>
  <c r="K41" i="1"/>
  <c r="M41" i="1" s="1"/>
  <c r="L41" i="1"/>
  <c r="N41" i="1" s="1"/>
  <c r="O41" i="1"/>
  <c r="P41" i="1"/>
  <c r="Q41" i="1"/>
  <c r="R41" i="1"/>
  <c r="S41" i="1"/>
  <c r="T41" i="1"/>
  <c r="U41" i="1"/>
  <c r="W41" i="1"/>
  <c r="X41" i="1"/>
  <c r="Y41" i="1"/>
  <c r="Z41" i="1"/>
  <c r="AA41" i="1"/>
  <c r="K42" i="1"/>
  <c r="M42" i="1" s="1"/>
  <c r="L42" i="1"/>
  <c r="N42" i="1" s="1"/>
  <c r="O42" i="1"/>
  <c r="P42" i="1"/>
  <c r="Q42" i="1"/>
  <c r="R42" i="1"/>
  <c r="S42" i="1"/>
  <c r="T42" i="1"/>
  <c r="U42" i="1"/>
  <c r="W42" i="1"/>
  <c r="X42" i="1"/>
  <c r="Y42" i="1"/>
  <c r="Z42" i="1"/>
  <c r="AA42" i="1"/>
  <c r="K43" i="1"/>
  <c r="M43" i="1" s="1"/>
  <c r="L43" i="1"/>
  <c r="N43" i="1" s="1"/>
  <c r="O43" i="1"/>
  <c r="P43" i="1"/>
  <c r="Q43" i="1"/>
  <c r="R43" i="1"/>
  <c r="S43" i="1"/>
  <c r="T43" i="1"/>
  <c r="U43" i="1"/>
  <c r="W43" i="1"/>
  <c r="X43" i="1"/>
  <c r="Y43" i="1"/>
  <c r="Z43" i="1"/>
  <c r="AA43" i="1"/>
  <c r="K44" i="1"/>
  <c r="M44" i="1" s="1"/>
  <c r="L44" i="1"/>
  <c r="N44" i="1" s="1"/>
  <c r="O44" i="1"/>
  <c r="P44" i="1"/>
  <c r="Q44" i="1"/>
  <c r="R44" i="1"/>
  <c r="S44" i="1"/>
  <c r="T44" i="1"/>
  <c r="U44" i="1"/>
  <c r="W44" i="1"/>
  <c r="X44" i="1"/>
  <c r="Y44" i="1"/>
  <c r="Z44" i="1"/>
  <c r="AA44" i="1"/>
  <c r="K45" i="1"/>
  <c r="M45" i="1" s="1"/>
  <c r="L45" i="1"/>
  <c r="N45" i="1" s="1"/>
  <c r="O45" i="1"/>
  <c r="P45" i="1"/>
  <c r="Q45" i="1"/>
  <c r="R45" i="1"/>
  <c r="S45" i="1"/>
  <c r="T45" i="1"/>
  <c r="U45" i="1"/>
  <c r="W45" i="1"/>
  <c r="X45" i="1"/>
  <c r="Y45" i="1"/>
  <c r="Z45" i="1"/>
  <c r="AA45" i="1"/>
  <c r="K46" i="1"/>
  <c r="M46" i="1" s="1"/>
  <c r="L46" i="1"/>
  <c r="N46" i="1" s="1"/>
  <c r="O46" i="1"/>
  <c r="P46" i="1"/>
  <c r="Q46" i="1"/>
  <c r="R46" i="1"/>
  <c r="S46" i="1"/>
  <c r="T46" i="1"/>
  <c r="U46" i="1"/>
  <c r="W46" i="1"/>
  <c r="X46" i="1"/>
  <c r="Y46" i="1"/>
  <c r="Z46" i="1"/>
  <c r="AA46" i="1"/>
  <c r="K47" i="1"/>
  <c r="M47" i="1" s="1"/>
  <c r="L47" i="1"/>
  <c r="N47" i="1" s="1"/>
  <c r="O47" i="1"/>
  <c r="P47" i="1"/>
  <c r="Q47" i="1"/>
  <c r="R47" i="1"/>
  <c r="S47" i="1"/>
  <c r="T47" i="1"/>
  <c r="U47" i="1"/>
  <c r="W47" i="1"/>
  <c r="X47" i="1"/>
  <c r="Y47" i="1"/>
  <c r="Z47" i="1"/>
  <c r="AA47" i="1"/>
  <c r="K48" i="1"/>
  <c r="M48" i="1" s="1"/>
  <c r="L48" i="1"/>
  <c r="N48" i="1" s="1"/>
  <c r="O48" i="1"/>
  <c r="P48" i="1"/>
  <c r="Q48" i="1"/>
  <c r="R48" i="1"/>
  <c r="S48" i="1"/>
  <c r="T48" i="1"/>
  <c r="U48" i="1"/>
  <c r="W48" i="1"/>
  <c r="X48" i="1"/>
  <c r="Y48" i="1"/>
  <c r="Z48" i="1"/>
  <c r="AA48" i="1"/>
  <c r="K49" i="1"/>
  <c r="M49" i="1" s="1"/>
  <c r="L49" i="1"/>
  <c r="N49" i="1" s="1"/>
  <c r="O49" i="1"/>
  <c r="P49" i="1"/>
  <c r="Q49" i="1"/>
  <c r="R49" i="1"/>
  <c r="S49" i="1"/>
  <c r="T49" i="1"/>
  <c r="U49" i="1"/>
  <c r="W49" i="1"/>
  <c r="X49" i="1"/>
  <c r="Y49" i="1"/>
  <c r="Z49" i="1"/>
  <c r="AA49" i="1"/>
  <c r="O288" i="1"/>
  <c r="P288" i="1"/>
  <c r="Q288" i="1"/>
  <c r="R288" i="1"/>
  <c r="S288" i="1"/>
  <c r="T288" i="1"/>
  <c r="U288" i="1"/>
  <c r="X288" i="1"/>
  <c r="Y288" i="1"/>
  <c r="Z288" i="1"/>
  <c r="AA288" i="1"/>
  <c r="K289" i="1"/>
  <c r="M289" i="1" s="1"/>
  <c r="L289" i="1"/>
  <c r="N289" i="1" s="1"/>
  <c r="O289" i="1"/>
  <c r="P289" i="1"/>
  <c r="Q289" i="1"/>
  <c r="R289" i="1"/>
  <c r="S289" i="1"/>
  <c r="T289" i="1"/>
  <c r="U289" i="1"/>
  <c r="W289" i="1"/>
  <c r="X289" i="1"/>
  <c r="Y289" i="1"/>
  <c r="Z289" i="1"/>
  <c r="AA289" i="1"/>
  <c r="K290" i="1"/>
  <c r="M290" i="1" s="1"/>
  <c r="L290" i="1"/>
  <c r="N290" i="1" s="1"/>
  <c r="O290" i="1"/>
  <c r="P290" i="1"/>
  <c r="Q290" i="1"/>
  <c r="R290" i="1"/>
  <c r="S290" i="1"/>
  <c r="T290" i="1"/>
  <c r="U290" i="1"/>
  <c r="W290" i="1"/>
  <c r="X290" i="1"/>
  <c r="Y290" i="1"/>
  <c r="Z290" i="1"/>
  <c r="AA290" i="1"/>
  <c r="K291" i="1"/>
  <c r="M291" i="1" s="1"/>
  <c r="L291" i="1"/>
  <c r="N291" i="1" s="1"/>
  <c r="O291" i="1"/>
  <c r="P291" i="1"/>
  <c r="Q291" i="1"/>
  <c r="R291" i="1"/>
  <c r="S291" i="1"/>
  <c r="T291" i="1"/>
  <c r="U291" i="1"/>
  <c r="W291" i="1"/>
  <c r="X291" i="1"/>
  <c r="Y291" i="1"/>
  <c r="Z291" i="1"/>
  <c r="AA291" i="1"/>
  <c r="K292" i="1"/>
  <c r="M292" i="1" s="1"/>
  <c r="L292" i="1"/>
  <c r="N292" i="1" s="1"/>
  <c r="O292" i="1"/>
  <c r="P292" i="1"/>
  <c r="Q292" i="1"/>
  <c r="R292" i="1"/>
  <c r="S292" i="1"/>
  <c r="T292" i="1"/>
  <c r="U292" i="1"/>
  <c r="W292" i="1"/>
  <c r="X292" i="1"/>
  <c r="Y292" i="1"/>
  <c r="Z292" i="1"/>
  <c r="AA292" i="1"/>
  <c r="K293" i="1"/>
  <c r="M293" i="1" s="1"/>
  <c r="L293" i="1"/>
  <c r="N293" i="1" s="1"/>
  <c r="O293" i="1"/>
  <c r="P293" i="1"/>
  <c r="Q293" i="1"/>
  <c r="R293" i="1"/>
  <c r="S293" i="1"/>
  <c r="T293" i="1"/>
  <c r="U293" i="1"/>
  <c r="W293" i="1"/>
  <c r="X293" i="1"/>
  <c r="Y293" i="1"/>
  <c r="Z293" i="1"/>
  <c r="AA293" i="1"/>
  <c r="K294" i="1"/>
  <c r="M294" i="1" s="1"/>
  <c r="L294" i="1"/>
  <c r="N294" i="1" s="1"/>
  <c r="O294" i="1"/>
  <c r="P294" i="1"/>
  <c r="Q294" i="1"/>
  <c r="R294" i="1"/>
  <c r="S294" i="1"/>
  <c r="T294" i="1"/>
  <c r="U294" i="1"/>
  <c r="W294" i="1"/>
  <c r="X294" i="1"/>
  <c r="Y294" i="1"/>
  <c r="Z294" i="1"/>
  <c r="AA294" i="1"/>
  <c r="L8" i="1"/>
  <c r="N8" i="1" s="1"/>
  <c r="O8" i="1"/>
  <c r="P8" i="1"/>
  <c r="Q8" i="1"/>
  <c r="R8" i="1"/>
  <c r="S8" i="1"/>
  <c r="T8" i="1"/>
  <c r="U8" i="1"/>
  <c r="W8" i="1"/>
  <c r="X8" i="1"/>
  <c r="Y8" i="1"/>
  <c r="Z8" i="1"/>
  <c r="AA8" i="1"/>
  <c r="A9" i="1" l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88" i="1"/>
  <c r="A289" i="1"/>
  <c r="A290" i="1"/>
  <c r="A291" i="1"/>
  <c r="A292" i="1"/>
  <c r="A293" i="1"/>
  <c r="A294" i="1"/>
  <c r="A309" i="1"/>
  <c r="A310" i="1"/>
  <c r="A311" i="1"/>
  <c r="A312" i="1"/>
  <c r="A313" i="1"/>
  <c r="A314" i="1"/>
  <c r="A315" i="1"/>
  <c r="A316" i="1"/>
  <c r="A317" i="1"/>
  <c r="A323" i="1"/>
  <c r="A324" i="1"/>
  <c r="A325" i="1"/>
  <c r="A326" i="1"/>
  <c r="A327" i="1"/>
  <c r="A328" i="1"/>
  <c r="A329" i="1"/>
  <c r="A330" i="1"/>
  <c r="A331" i="1"/>
  <c r="A8" i="1"/>
  <c r="G270" i="1" l="1"/>
  <c r="G271" i="1"/>
  <c r="G272" i="1"/>
  <c r="G273" i="1"/>
  <c r="G158" i="1"/>
  <c r="G159" i="1"/>
  <c r="G160" i="1"/>
  <c r="G161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32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20" i="1"/>
  <c r="B270" i="4"/>
  <c r="C270" i="4"/>
  <c r="K270" i="1"/>
  <c r="M270" i="1" s="1"/>
  <c r="L270" i="1"/>
  <c r="N270" i="1" s="1"/>
  <c r="F270" i="4"/>
  <c r="G270" i="4"/>
  <c r="H270" i="4"/>
  <c r="O270" i="1" s="1"/>
  <c r="I270" i="4"/>
  <c r="P270" i="1" s="1"/>
  <c r="J270" i="4"/>
  <c r="Q270" i="1" s="1"/>
  <c r="K270" i="4"/>
  <c r="R270" i="1" s="1"/>
  <c r="S270" i="1"/>
  <c r="T270" i="1"/>
  <c r="O270" i="4"/>
  <c r="P270" i="4"/>
  <c r="W270" i="1" s="1"/>
  <c r="Q270" i="4"/>
  <c r="X270" i="1" s="1"/>
  <c r="R270" i="4"/>
  <c r="Y270" i="1" s="1"/>
  <c r="S270" i="4"/>
  <c r="Z270" i="1" s="1"/>
  <c r="T270" i="4"/>
  <c r="AA270" i="1" s="1"/>
  <c r="B271" i="4"/>
  <c r="C271" i="4"/>
  <c r="K271" i="1"/>
  <c r="M271" i="1" s="1"/>
  <c r="L271" i="1"/>
  <c r="N271" i="1" s="1"/>
  <c r="F271" i="4"/>
  <c r="G271" i="4"/>
  <c r="H271" i="4"/>
  <c r="O271" i="1" s="1"/>
  <c r="I271" i="4"/>
  <c r="P271" i="1" s="1"/>
  <c r="J271" i="4"/>
  <c r="Q271" i="1" s="1"/>
  <c r="K271" i="4"/>
  <c r="R271" i="1" s="1"/>
  <c r="S271" i="1"/>
  <c r="T271" i="1"/>
  <c r="O271" i="4"/>
  <c r="P271" i="4"/>
  <c r="W271" i="1" s="1"/>
  <c r="Q271" i="4"/>
  <c r="X271" i="1" s="1"/>
  <c r="R271" i="4"/>
  <c r="Y271" i="1" s="1"/>
  <c r="S271" i="4"/>
  <c r="Z271" i="1" s="1"/>
  <c r="T271" i="4"/>
  <c r="AA271" i="1" s="1"/>
  <c r="B272" i="4"/>
  <c r="C272" i="4"/>
  <c r="K272" i="1"/>
  <c r="M272" i="1" s="1"/>
  <c r="L272" i="1"/>
  <c r="N272" i="1" s="1"/>
  <c r="F272" i="4"/>
  <c r="G272" i="4"/>
  <c r="H272" i="4"/>
  <c r="O272" i="1" s="1"/>
  <c r="I272" i="4"/>
  <c r="P272" i="1" s="1"/>
  <c r="J272" i="4"/>
  <c r="Q272" i="1" s="1"/>
  <c r="K272" i="4"/>
  <c r="R272" i="1" s="1"/>
  <c r="S272" i="1"/>
  <c r="T272" i="1"/>
  <c r="O272" i="4"/>
  <c r="P272" i="4"/>
  <c r="W272" i="1" s="1"/>
  <c r="Q272" i="4"/>
  <c r="X272" i="1" s="1"/>
  <c r="R272" i="4"/>
  <c r="Y272" i="1" s="1"/>
  <c r="S272" i="4"/>
  <c r="Z272" i="1" s="1"/>
  <c r="T272" i="4"/>
  <c r="AA272" i="1" s="1"/>
  <c r="B273" i="4"/>
  <c r="C273" i="4"/>
  <c r="K273" i="1"/>
  <c r="M273" i="1" s="1"/>
  <c r="L273" i="1"/>
  <c r="N273" i="1" s="1"/>
  <c r="F273" i="4"/>
  <c r="G273" i="4"/>
  <c r="H273" i="4"/>
  <c r="O273" i="1" s="1"/>
  <c r="I273" i="4"/>
  <c r="P273" i="1" s="1"/>
  <c r="J273" i="4"/>
  <c r="Q273" i="1" s="1"/>
  <c r="K273" i="4"/>
  <c r="R273" i="1" s="1"/>
  <c r="S273" i="1"/>
  <c r="T273" i="1"/>
  <c r="O273" i="4"/>
  <c r="P273" i="4"/>
  <c r="W273" i="1" s="1"/>
  <c r="Q273" i="4"/>
  <c r="X273" i="1" s="1"/>
  <c r="R273" i="4"/>
  <c r="Y273" i="1" s="1"/>
  <c r="S273" i="4"/>
  <c r="Z273" i="1" s="1"/>
  <c r="T273" i="4"/>
  <c r="AA273" i="1" s="1"/>
  <c r="B158" i="4"/>
  <c r="C158" i="4"/>
  <c r="K158" i="1"/>
  <c r="M158" i="1" s="1"/>
  <c r="L158" i="1"/>
  <c r="N158" i="1" s="1"/>
  <c r="F158" i="4"/>
  <c r="G158" i="4"/>
  <c r="H158" i="4"/>
  <c r="O158" i="1" s="1"/>
  <c r="I158" i="4"/>
  <c r="P158" i="1" s="1"/>
  <c r="J158" i="4"/>
  <c r="Q158" i="1" s="1"/>
  <c r="K158" i="4"/>
  <c r="R158" i="1" s="1"/>
  <c r="L158" i="4"/>
  <c r="S158" i="1" s="1"/>
  <c r="M158" i="4"/>
  <c r="T158" i="1" s="1"/>
  <c r="O158" i="4"/>
  <c r="P158" i="4"/>
  <c r="W158" i="1" s="1"/>
  <c r="Q158" i="4"/>
  <c r="X158" i="1" s="1"/>
  <c r="R158" i="4"/>
  <c r="Y158" i="1" s="1"/>
  <c r="S158" i="4"/>
  <c r="Z158" i="1" s="1"/>
  <c r="T158" i="4"/>
  <c r="AA158" i="1" s="1"/>
  <c r="B159" i="4"/>
  <c r="C159" i="4"/>
  <c r="K159" i="1"/>
  <c r="M159" i="1" s="1"/>
  <c r="L159" i="1"/>
  <c r="N159" i="1" s="1"/>
  <c r="F159" i="4"/>
  <c r="G159" i="4"/>
  <c r="H159" i="4"/>
  <c r="O159" i="1" s="1"/>
  <c r="I159" i="4"/>
  <c r="P159" i="1" s="1"/>
  <c r="J159" i="4"/>
  <c r="Q159" i="1" s="1"/>
  <c r="K159" i="4"/>
  <c r="R159" i="1" s="1"/>
  <c r="L159" i="4"/>
  <c r="S159" i="1" s="1"/>
  <c r="M159" i="4"/>
  <c r="T159" i="1" s="1"/>
  <c r="O159" i="4"/>
  <c r="P159" i="4"/>
  <c r="W159" i="1" s="1"/>
  <c r="Q159" i="4"/>
  <c r="X159" i="1" s="1"/>
  <c r="R159" i="4"/>
  <c r="Y159" i="1" s="1"/>
  <c r="S159" i="4"/>
  <c r="Z159" i="1" s="1"/>
  <c r="T159" i="4"/>
  <c r="AA159" i="1" s="1"/>
  <c r="B160" i="4"/>
  <c r="C160" i="4"/>
  <c r="K160" i="1"/>
  <c r="M160" i="1" s="1"/>
  <c r="L160" i="1"/>
  <c r="N160" i="1" s="1"/>
  <c r="F160" i="4"/>
  <c r="G160" i="4"/>
  <c r="H160" i="4"/>
  <c r="O160" i="1" s="1"/>
  <c r="I160" i="4"/>
  <c r="P160" i="1" s="1"/>
  <c r="J160" i="4"/>
  <c r="Q160" i="1" s="1"/>
  <c r="K160" i="4"/>
  <c r="R160" i="1" s="1"/>
  <c r="L160" i="4"/>
  <c r="S160" i="1" s="1"/>
  <c r="M160" i="4"/>
  <c r="T160" i="1" s="1"/>
  <c r="O160" i="4"/>
  <c r="P160" i="4"/>
  <c r="W160" i="1" s="1"/>
  <c r="Q160" i="4"/>
  <c r="X160" i="1" s="1"/>
  <c r="R160" i="4"/>
  <c r="Y160" i="1" s="1"/>
  <c r="S160" i="4"/>
  <c r="Z160" i="1" s="1"/>
  <c r="T160" i="4"/>
  <c r="AA160" i="1" s="1"/>
  <c r="B161" i="4"/>
  <c r="C161" i="4"/>
  <c r="K161" i="1"/>
  <c r="M161" i="1" s="1"/>
  <c r="L161" i="1"/>
  <c r="N161" i="1" s="1"/>
  <c r="F161" i="4"/>
  <c r="G161" i="4"/>
  <c r="H161" i="4"/>
  <c r="O161" i="1" s="1"/>
  <c r="I161" i="4"/>
  <c r="P161" i="1" s="1"/>
  <c r="J161" i="4"/>
  <c r="Q161" i="1" s="1"/>
  <c r="K161" i="4"/>
  <c r="R161" i="1" s="1"/>
  <c r="L161" i="4"/>
  <c r="S161" i="1" s="1"/>
  <c r="M161" i="4"/>
  <c r="T161" i="1" s="1"/>
  <c r="O161" i="4"/>
  <c r="P161" i="4"/>
  <c r="W161" i="1" s="1"/>
  <c r="Q161" i="4"/>
  <c r="X161" i="1" s="1"/>
  <c r="R161" i="4"/>
  <c r="Y161" i="1" s="1"/>
  <c r="S161" i="4"/>
  <c r="Z161" i="1" s="1"/>
  <c r="T161" i="4"/>
  <c r="AA161" i="1" s="1"/>
  <c r="K233" i="1" l="1"/>
  <c r="M233" i="1" s="1"/>
  <c r="L233" i="1"/>
  <c r="N233" i="1" s="1"/>
  <c r="F233" i="4"/>
  <c r="G233" i="4"/>
  <c r="H233" i="4"/>
  <c r="O233" i="1" s="1"/>
  <c r="I233" i="4"/>
  <c r="P233" i="1" s="1"/>
  <c r="J233" i="4"/>
  <c r="Q233" i="1" s="1"/>
  <c r="K233" i="4"/>
  <c r="R233" i="1" s="1"/>
  <c r="S233" i="1"/>
  <c r="T233" i="1"/>
  <c r="O233" i="4"/>
  <c r="P233" i="4"/>
  <c r="W233" i="1" s="1"/>
  <c r="Q233" i="4"/>
  <c r="X233" i="1" s="1"/>
  <c r="R233" i="4"/>
  <c r="Y233" i="1" s="1"/>
  <c r="S233" i="4"/>
  <c r="Z233" i="1" s="1"/>
  <c r="T233" i="4"/>
  <c r="AA233" i="1" s="1"/>
  <c r="K234" i="1"/>
  <c r="M234" i="1" s="1"/>
  <c r="L234" i="1"/>
  <c r="N234" i="1" s="1"/>
  <c r="F234" i="4"/>
  <c r="G234" i="4"/>
  <c r="H234" i="4"/>
  <c r="O234" i="1" s="1"/>
  <c r="I234" i="4"/>
  <c r="P234" i="1" s="1"/>
  <c r="J234" i="4"/>
  <c r="Q234" i="1" s="1"/>
  <c r="K234" i="4"/>
  <c r="R234" i="1" s="1"/>
  <c r="S234" i="1"/>
  <c r="T234" i="1"/>
  <c r="O234" i="4"/>
  <c r="P234" i="4"/>
  <c r="W234" i="1" s="1"/>
  <c r="Q234" i="4"/>
  <c r="X234" i="1" s="1"/>
  <c r="R234" i="4"/>
  <c r="Y234" i="1" s="1"/>
  <c r="S234" i="4"/>
  <c r="Z234" i="1" s="1"/>
  <c r="T234" i="4"/>
  <c r="AA234" i="1" s="1"/>
  <c r="K235" i="1"/>
  <c r="M235" i="1" s="1"/>
  <c r="L235" i="1"/>
  <c r="N235" i="1" s="1"/>
  <c r="F235" i="4"/>
  <c r="G235" i="4"/>
  <c r="H235" i="4"/>
  <c r="O235" i="1" s="1"/>
  <c r="I235" i="4"/>
  <c r="P235" i="1" s="1"/>
  <c r="J235" i="4"/>
  <c r="Q235" i="1" s="1"/>
  <c r="K235" i="4"/>
  <c r="R235" i="1" s="1"/>
  <c r="S235" i="1"/>
  <c r="T235" i="1"/>
  <c r="O235" i="4"/>
  <c r="P235" i="4"/>
  <c r="W235" i="1" s="1"/>
  <c r="Q235" i="4"/>
  <c r="X235" i="1" s="1"/>
  <c r="R235" i="4"/>
  <c r="Y235" i="1" s="1"/>
  <c r="S235" i="4"/>
  <c r="Z235" i="1" s="1"/>
  <c r="T235" i="4"/>
  <c r="AA235" i="1" s="1"/>
  <c r="K236" i="1"/>
  <c r="M236" i="1" s="1"/>
  <c r="L236" i="1"/>
  <c r="N236" i="1" s="1"/>
  <c r="F236" i="4"/>
  <c r="G236" i="4"/>
  <c r="H236" i="4"/>
  <c r="O236" i="1" s="1"/>
  <c r="I236" i="4"/>
  <c r="P236" i="1" s="1"/>
  <c r="J236" i="4"/>
  <c r="Q236" i="1" s="1"/>
  <c r="K236" i="4"/>
  <c r="R236" i="1" s="1"/>
  <c r="S236" i="1"/>
  <c r="T236" i="1"/>
  <c r="O236" i="4"/>
  <c r="P236" i="4"/>
  <c r="W236" i="1" s="1"/>
  <c r="Q236" i="4"/>
  <c r="X236" i="1" s="1"/>
  <c r="R236" i="4"/>
  <c r="Y236" i="1" s="1"/>
  <c r="S236" i="4"/>
  <c r="Z236" i="1" s="1"/>
  <c r="T236" i="4"/>
  <c r="AA236" i="1" s="1"/>
  <c r="K237" i="1"/>
  <c r="M237" i="1" s="1"/>
  <c r="L237" i="1"/>
  <c r="N237" i="1" s="1"/>
  <c r="F237" i="4"/>
  <c r="G237" i="4"/>
  <c r="H237" i="4"/>
  <c r="O237" i="1" s="1"/>
  <c r="I237" i="4"/>
  <c r="P237" i="1" s="1"/>
  <c r="J237" i="4"/>
  <c r="Q237" i="1" s="1"/>
  <c r="K237" i="4"/>
  <c r="R237" i="1" s="1"/>
  <c r="S237" i="1"/>
  <c r="T237" i="1"/>
  <c r="O237" i="4"/>
  <c r="P237" i="4"/>
  <c r="W237" i="1" s="1"/>
  <c r="Q237" i="4"/>
  <c r="X237" i="1" s="1"/>
  <c r="R237" i="4"/>
  <c r="Y237" i="1" s="1"/>
  <c r="S237" i="4"/>
  <c r="Z237" i="1" s="1"/>
  <c r="T237" i="4"/>
  <c r="AA237" i="1" s="1"/>
  <c r="K238" i="1"/>
  <c r="M238" i="1" s="1"/>
  <c r="L238" i="1"/>
  <c r="N238" i="1" s="1"/>
  <c r="F238" i="4"/>
  <c r="G238" i="4"/>
  <c r="H238" i="4"/>
  <c r="O238" i="1" s="1"/>
  <c r="I238" i="4"/>
  <c r="P238" i="1" s="1"/>
  <c r="J238" i="4"/>
  <c r="Q238" i="1" s="1"/>
  <c r="K238" i="4"/>
  <c r="R238" i="1" s="1"/>
  <c r="S238" i="1"/>
  <c r="T238" i="1"/>
  <c r="O238" i="4"/>
  <c r="P238" i="4"/>
  <c r="W238" i="1" s="1"/>
  <c r="Q238" i="4"/>
  <c r="X238" i="1" s="1"/>
  <c r="R238" i="4"/>
  <c r="Y238" i="1" s="1"/>
  <c r="S238" i="4"/>
  <c r="Z238" i="1" s="1"/>
  <c r="T238" i="4"/>
  <c r="AA238" i="1" s="1"/>
  <c r="K239" i="1"/>
  <c r="M239" i="1" s="1"/>
  <c r="L239" i="1"/>
  <c r="N239" i="1" s="1"/>
  <c r="F239" i="4"/>
  <c r="G239" i="4"/>
  <c r="H239" i="4"/>
  <c r="O239" i="1" s="1"/>
  <c r="I239" i="4"/>
  <c r="P239" i="1" s="1"/>
  <c r="J239" i="4"/>
  <c r="Q239" i="1" s="1"/>
  <c r="K239" i="4"/>
  <c r="R239" i="1" s="1"/>
  <c r="S239" i="1"/>
  <c r="T239" i="1"/>
  <c r="O239" i="4"/>
  <c r="P239" i="4"/>
  <c r="W239" i="1" s="1"/>
  <c r="Q239" i="4"/>
  <c r="X239" i="1" s="1"/>
  <c r="R239" i="4"/>
  <c r="Y239" i="1" s="1"/>
  <c r="S239" i="4"/>
  <c r="Z239" i="1" s="1"/>
  <c r="T239" i="4"/>
  <c r="AA239" i="1" s="1"/>
  <c r="K240" i="1"/>
  <c r="M240" i="1" s="1"/>
  <c r="L240" i="1"/>
  <c r="N240" i="1" s="1"/>
  <c r="F240" i="4"/>
  <c r="G240" i="4"/>
  <c r="H240" i="4"/>
  <c r="O240" i="1" s="1"/>
  <c r="I240" i="4"/>
  <c r="P240" i="1" s="1"/>
  <c r="J240" i="4"/>
  <c r="Q240" i="1" s="1"/>
  <c r="K240" i="4"/>
  <c r="R240" i="1" s="1"/>
  <c r="S240" i="1"/>
  <c r="T240" i="1"/>
  <c r="O240" i="4"/>
  <c r="P240" i="4"/>
  <c r="W240" i="1" s="1"/>
  <c r="Q240" i="4"/>
  <c r="X240" i="1" s="1"/>
  <c r="R240" i="4"/>
  <c r="Y240" i="1" s="1"/>
  <c r="S240" i="4"/>
  <c r="Z240" i="1" s="1"/>
  <c r="T240" i="4"/>
  <c r="AA240" i="1" s="1"/>
  <c r="K241" i="1"/>
  <c r="M241" i="1" s="1"/>
  <c r="L241" i="1"/>
  <c r="N241" i="1" s="1"/>
  <c r="F241" i="4"/>
  <c r="G241" i="4"/>
  <c r="H241" i="4"/>
  <c r="O241" i="1" s="1"/>
  <c r="I241" i="4"/>
  <c r="P241" i="1" s="1"/>
  <c r="J241" i="4"/>
  <c r="Q241" i="1" s="1"/>
  <c r="K241" i="4"/>
  <c r="R241" i="1" s="1"/>
  <c r="S241" i="1"/>
  <c r="T241" i="1"/>
  <c r="O241" i="4"/>
  <c r="P241" i="4"/>
  <c r="W241" i="1" s="1"/>
  <c r="Q241" i="4"/>
  <c r="X241" i="1" s="1"/>
  <c r="R241" i="4"/>
  <c r="Y241" i="1" s="1"/>
  <c r="S241" i="4"/>
  <c r="Z241" i="1" s="1"/>
  <c r="T241" i="4"/>
  <c r="AA241" i="1" s="1"/>
  <c r="K242" i="1"/>
  <c r="M242" i="1" s="1"/>
  <c r="L242" i="1"/>
  <c r="N242" i="1" s="1"/>
  <c r="F242" i="4"/>
  <c r="G242" i="4"/>
  <c r="H242" i="4"/>
  <c r="O242" i="1" s="1"/>
  <c r="I242" i="4"/>
  <c r="P242" i="1" s="1"/>
  <c r="J242" i="4"/>
  <c r="Q242" i="1" s="1"/>
  <c r="K242" i="4"/>
  <c r="R242" i="1" s="1"/>
  <c r="S242" i="1"/>
  <c r="T242" i="1"/>
  <c r="O242" i="4"/>
  <c r="P242" i="4"/>
  <c r="W242" i="1" s="1"/>
  <c r="Q242" i="4"/>
  <c r="X242" i="1" s="1"/>
  <c r="R242" i="4"/>
  <c r="Y242" i="1" s="1"/>
  <c r="S242" i="4"/>
  <c r="Z242" i="1" s="1"/>
  <c r="T242" i="4"/>
  <c r="AA242" i="1" s="1"/>
  <c r="K243" i="1"/>
  <c r="M243" i="1" s="1"/>
  <c r="L243" i="1"/>
  <c r="N243" i="1" s="1"/>
  <c r="F243" i="4"/>
  <c r="G243" i="4"/>
  <c r="H243" i="4"/>
  <c r="O243" i="1" s="1"/>
  <c r="I243" i="4"/>
  <c r="P243" i="1" s="1"/>
  <c r="J243" i="4"/>
  <c r="Q243" i="1" s="1"/>
  <c r="K243" i="4"/>
  <c r="R243" i="1" s="1"/>
  <c r="S243" i="1"/>
  <c r="T243" i="1"/>
  <c r="O243" i="4"/>
  <c r="P243" i="4"/>
  <c r="W243" i="1" s="1"/>
  <c r="Q243" i="4"/>
  <c r="X243" i="1" s="1"/>
  <c r="R243" i="4"/>
  <c r="Y243" i="1" s="1"/>
  <c r="S243" i="4"/>
  <c r="Z243" i="1" s="1"/>
  <c r="T243" i="4"/>
  <c r="AA243" i="1" s="1"/>
  <c r="K244" i="1"/>
  <c r="M244" i="1" s="1"/>
  <c r="L244" i="1"/>
  <c r="N244" i="1" s="1"/>
  <c r="F244" i="4"/>
  <c r="G244" i="4"/>
  <c r="H244" i="4"/>
  <c r="O244" i="1" s="1"/>
  <c r="I244" i="4"/>
  <c r="P244" i="1" s="1"/>
  <c r="J244" i="4"/>
  <c r="Q244" i="1" s="1"/>
  <c r="K244" i="4"/>
  <c r="R244" i="1" s="1"/>
  <c r="S244" i="1"/>
  <c r="T244" i="1"/>
  <c r="O244" i="4"/>
  <c r="P244" i="4"/>
  <c r="W244" i="1" s="1"/>
  <c r="Q244" i="4"/>
  <c r="X244" i="1" s="1"/>
  <c r="R244" i="4"/>
  <c r="Y244" i="1" s="1"/>
  <c r="S244" i="4"/>
  <c r="Z244" i="1" s="1"/>
  <c r="T244" i="4"/>
  <c r="AA244" i="1" s="1"/>
  <c r="K245" i="1"/>
  <c r="M245" i="1" s="1"/>
  <c r="L245" i="1"/>
  <c r="N245" i="1" s="1"/>
  <c r="F245" i="4"/>
  <c r="G245" i="4"/>
  <c r="H245" i="4"/>
  <c r="O245" i="1" s="1"/>
  <c r="I245" i="4"/>
  <c r="P245" i="1" s="1"/>
  <c r="J245" i="4"/>
  <c r="Q245" i="1" s="1"/>
  <c r="K245" i="4"/>
  <c r="R245" i="1" s="1"/>
  <c r="S245" i="1"/>
  <c r="T245" i="1"/>
  <c r="O245" i="4"/>
  <c r="P245" i="4"/>
  <c r="W245" i="1" s="1"/>
  <c r="Q245" i="4"/>
  <c r="X245" i="1" s="1"/>
  <c r="R245" i="4"/>
  <c r="Y245" i="1" s="1"/>
  <c r="S245" i="4"/>
  <c r="Z245" i="1" s="1"/>
  <c r="T245" i="4"/>
  <c r="AA245" i="1" s="1"/>
  <c r="K246" i="1"/>
  <c r="M246" i="1" s="1"/>
  <c r="L246" i="1"/>
  <c r="N246" i="1" s="1"/>
  <c r="F246" i="4"/>
  <c r="G246" i="4"/>
  <c r="H246" i="4"/>
  <c r="O246" i="1" s="1"/>
  <c r="I246" i="4"/>
  <c r="P246" i="1" s="1"/>
  <c r="J246" i="4"/>
  <c r="Q246" i="1" s="1"/>
  <c r="K246" i="4"/>
  <c r="R246" i="1" s="1"/>
  <c r="S246" i="1"/>
  <c r="T246" i="1"/>
  <c r="O246" i="4"/>
  <c r="P246" i="4"/>
  <c r="W246" i="1" s="1"/>
  <c r="Q246" i="4"/>
  <c r="X246" i="1" s="1"/>
  <c r="R246" i="4"/>
  <c r="Y246" i="1" s="1"/>
  <c r="S246" i="4"/>
  <c r="Z246" i="1" s="1"/>
  <c r="T246" i="4"/>
  <c r="AA246" i="1" s="1"/>
  <c r="K247" i="1"/>
  <c r="M247" i="1" s="1"/>
  <c r="L247" i="1"/>
  <c r="N247" i="1" s="1"/>
  <c r="F247" i="4"/>
  <c r="G247" i="4"/>
  <c r="H247" i="4"/>
  <c r="O247" i="1" s="1"/>
  <c r="I247" i="4"/>
  <c r="P247" i="1" s="1"/>
  <c r="J247" i="4"/>
  <c r="Q247" i="1" s="1"/>
  <c r="K247" i="4"/>
  <c r="R247" i="1" s="1"/>
  <c r="S247" i="1"/>
  <c r="T247" i="1"/>
  <c r="O247" i="4"/>
  <c r="P247" i="4"/>
  <c r="W247" i="1" s="1"/>
  <c r="Q247" i="4"/>
  <c r="X247" i="1" s="1"/>
  <c r="R247" i="4"/>
  <c r="Y247" i="1" s="1"/>
  <c r="S247" i="4"/>
  <c r="Z247" i="1" s="1"/>
  <c r="T247" i="4"/>
  <c r="AA247" i="1" s="1"/>
  <c r="K248" i="1"/>
  <c r="M248" i="1" s="1"/>
  <c r="L248" i="1"/>
  <c r="N248" i="1" s="1"/>
  <c r="F248" i="4"/>
  <c r="G248" i="4"/>
  <c r="H248" i="4"/>
  <c r="O248" i="1" s="1"/>
  <c r="I248" i="4"/>
  <c r="P248" i="1" s="1"/>
  <c r="J248" i="4"/>
  <c r="Q248" i="1" s="1"/>
  <c r="K248" i="4"/>
  <c r="R248" i="1" s="1"/>
  <c r="S248" i="1"/>
  <c r="T248" i="1"/>
  <c r="O248" i="4"/>
  <c r="P248" i="4"/>
  <c r="W248" i="1" s="1"/>
  <c r="Q248" i="4"/>
  <c r="X248" i="1" s="1"/>
  <c r="R248" i="4"/>
  <c r="Y248" i="1" s="1"/>
  <c r="S248" i="4"/>
  <c r="Z248" i="1" s="1"/>
  <c r="T248" i="4"/>
  <c r="AA248" i="1" s="1"/>
  <c r="K249" i="1"/>
  <c r="M249" i="1" s="1"/>
  <c r="L249" i="1"/>
  <c r="N249" i="1" s="1"/>
  <c r="F249" i="4"/>
  <c r="G249" i="4"/>
  <c r="H249" i="4"/>
  <c r="O249" i="1" s="1"/>
  <c r="I249" i="4"/>
  <c r="P249" i="1" s="1"/>
  <c r="J249" i="4"/>
  <c r="Q249" i="1" s="1"/>
  <c r="K249" i="4"/>
  <c r="R249" i="1" s="1"/>
  <c r="S249" i="1"/>
  <c r="T249" i="1"/>
  <c r="O249" i="4"/>
  <c r="P249" i="4"/>
  <c r="W249" i="1" s="1"/>
  <c r="Q249" i="4"/>
  <c r="X249" i="1" s="1"/>
  <c r="R249" i="4"/>
  <c r="Y249" i="1" s="1"/>
  <c r="S249" i="4"/>
  <c r="Z249" i="1" s="1"/>
  <c r="T249" i="4"/>
  <c r="AA249" i="1" s="1"/>
  <c r="K250" i="1"/>
  <c r="M250" i="1" s="1"/>
  <c r="L250" i="1"/>
  <c r="N250" i="1" s="1"/>
  <c r="F250" i="4"/>
  <c r="G250" i="4"/>
  <c r="H250" i="4"/>
  <c r="O250" i="1" s="1"/>
  <c r="I250" i="4"/>
  <c r="P250" i="1" s="1"/>
  <c r="J250" i="4"/>
  <c r="Q250" i="1" s="1"/>
  <c r="K250" i="4"/>
  <c r="R250" i="1" s="1"/>
  <c r="S250" i="1"/>
  <c r="T250" i="1"/>
  <c r="O250" i="4"/>
  <c r="P250" i="4"/>
  <c r="W250" i="1" s="1"/>
  <c r="Q250" i="4"/>
  <c r="X250" i="1" s="1"/>
  <c r="R250" i="4"/>
  <c r="Y250" i="1" s="1"/>
  <c r="S250" i="4"/>
  <c r="Z250" i="1" s="1"/>
  <c r="T250" i="4"/>
  <c r="AA250" i="1" s="1"/>
  <c r="K251" i="1"/>
  <c r="M251" i="1" s="1"/>
  <c r="L251" i="1"/>
  <c r="N251" i="1" s="1"/>
  <c r="F251" i="4"/>
  <c r="G251" i="4"/>
  <c r="H251" i="4"/>
  <c r="O251" i="1" s="1"/>
  <c r="I251" i="4"/>
  <c r="P251" i="1" s="1"/>
  <c r="J251" i="4"/>
  <c r="Q251" i="1" s="1"/>
  <c r="K251" i="4"/>
  <c r="R251" i="1" s="1"/>
  <c r="S251" i="1"/>
  <c r="T251" i="1"/>
  <c r="O251" i="4"/>
  <c r="P251" i="4"/>
  <c r="W251" i="1" s="1"/>
  <c r="Q251" i="4"/>
  <c r="X251" i="1" s="1"/>
  <c r="R251" i="4"/>
  <c r="Y251" i="1" s="1"/>
  <c r="S251" i="4"/>
  <c r="Z251" i="1" s="1"/>
  <c r="T251" i="4"/>
  <c r="AA251" i="1" s="1"/>
  <c r="K252" i="1"/>
  <c r="M252" i="1" s="1"/>
  <c r="L252" i="1"/>
  <c r="N252" i="1" s="1"/>
  <c r="F252" i="4"/>
  <c r="G252" i="4"/>
  <c r="H252" i="4"/>
  <c r="O252" i="1" s="1"/>
  <c r="I252" i="4"/>
  <c r="P252" i="1" s="1"/>
  <c r="J252" i="4"/>
  <c r="Q252" i="1" s="1"/>
  <c r="K252" i="4"/>
  <c r="R252" i="1" s="1"/>
  <c r="S252" i="1"/>
  <c r="T252" i="1"/>
  <c r="O252" i="4"/>
  <c r="P252" i="4"/>
  <c r="W252" i="1" s="1"/>
  <c r="Q252" i="4"/>
  <c r="X252" i="1" s="1"/>
  <c r="R252" i="4"/>
  <c r="Y252" i="1" s="1"/>
  <c r="S252" i="4"/>
  <c r="Z252" i="1" s="1"/>
  <c r="T252" i="4"/>
  <c r="AA252" i="1" s="1"/>
  <c r="K254" i="1"/>
  <c r="M254" i="1" s="1"/>
  <c r="L254" i="1"/>
  <c r="N254" i="1" s="1"/>
  <c r="F254" i="4"/>
  <c r="G254" i="4"/>
  <c r="H254" i="4"/>
  <c r="O254" i="1" s="1"/>
  <c r="I254" i="4"/>
  <c r="P254" i="1" s="1"/>
  <c r="J254" i="4"/>
  <c r="Q254" i="1" s="1"/>
  <c r="K254" i="4"/>
  <c r="R254" i="1" s="1"/>
  <c r="S254" i="1"/>
  <c r="T254" i="1"/>
  <c r="O254" i="4"/>
  <c r="P254" i="4"/>
  <c r="W254" i="1" s="1"/>
  <c r="Q254" i="4"/>
  <c r="X254" i="1" s="1"/>
  <c r="R254" i="4"/>
  <c r="Y254" i="1" s="1"/>
  <c r="S254" i="4"/>
  <c r="Z254" i="1" s="1"/>
  <c r="T254" i="4"/>
  <c r="AA254" i="1" s="1"/>
  <c r="K255" i="1"/>
  <c r="M255" i="1" s="1"/>
  <c r="L255" i="1"/>
  <c r="N255" i="1" s="1"/>
  <c r="F255" i="4"/>
  <c r="G255" i="4"/>
  <c r="H255" i="4"/>
  <c r="O255" i="1" s="1"/>
  <c r="I255" i="4"/>
  <c r="P255" i="1" s="1"/>
  <c r="J255" i="4"/>
  <c r="Q255" i="1" s="1"/>
  <c r="K255" i="4"/>
  <c r="R255" i="1" s="1"/>
  <c r="S255" i="1"/>
  <c r="T255" i="1"/>
  <c r="O255" i="4"/>
  <c r="P255" i="4"/>
  <c r="W255" i="1" s="1"/>
  <c r="Q255" i="4"/>
  <c r="X255" i="1" s="1"/>
  <c r="R255" i="4"/>
  <c r="Y255" i="1" s="1"/>
  <c r="S255" i="4"/>
  <c r="Z255" i="1" s="1"/>
  <c r="T255" i="4"/>
  <c r="AA255" i="1" s="1"/>
  <c r="K256" i="1"/>
  <c r="M256" i="1" s="1"/>
  <c r="L256" i="1"/>
  <c r="N256" i="1" s="1"/>
  <c r="F256" i="4"/>
  <c r="G256" i="4"/>
  <c r="H256" i="4"/>
  <c r="O256" i="1" s="1"/>
  <c r="I256" i="4"/>
  <c r="P256" i="1" s="1"/>
  <c r="J256" i="4"/>
  <c r="Q256" i="1" s="1"/>
  <c r="K256" i="4"/>
  <c r="R256" i="1" s="1"/>
  <c r="S256" i="1"/>
  <c r="T256" i="1"/>
  <c r="O256" i="4"/>
  <c r="P256" i="4"/>
  <c r="W256" i="1" s="1"/>
  <c r="Q256" i="4"/>
  <c r="X256" i="1" s="1"/>
  <c r="R256" i="4"/>
  <c r="Y256" i="1" s="1"/>
  <c r="S256" i="4"/>
  <c r="Z256" i="1" s="1"/>
  <c r="T256" i="4"/>
  <c r="AA256" i="1" s="1"/>
  <c r="K257" i="1"/>
  <c r="M257" i="1" s="1"/>
  <c r="L257" i="1"/>
  <c r="N257" i="1" s="1"/>
  <c r="F257" i="4"/>
  <c r="G257" i="4"/>
  <c r="H257" i="4"/>
  <c r="O257" i="1" s="1"/>
  <c r="I257" i="4"/>
  <c r="P257" i="1" s="1"/>
  <c r="J257" i="4"/>
  <c r="Q257" i="1" s="1"/>
  <c r="K257" i="4"/>
  <c r="R257" i="1" s="1"/>
  <c r="S257" i="1"/>
  <c r="T257" i="1"/>
  <c r="O257" i="4"/>
  <c r="P257" i="4"/>
  <c r="W257" i="1" s="1"/>
  <c r="Q257" i="4"/>
  <c r="X257" i="1" s="1"/>
  <c r="R257" i="4"/>
  <c r="Y257" i="1" s="1"/>
  <c r="S257" i="4"/>
  <c r="Z257" i="1" s="1"/>
  <c r="T257" i="4"/>
  <c r="AA257" i="1" s="1"/>
  <c r="K258" i="1"/>
  <c r="M258" i="1" s="1"/>
  <c r="L258" i="1"/>
  <c r="N258" i="1" s="1"/>
  <c r="F258" i="4"/>
  <c r="G258" i="4"/>
  <c r="H258" i="4"/>
  <c r="O258" i="1" s="1"/>
  <c r="I258" i="4"/>
  <c r="P258" i="1" s="1"/>
  <c r="J258" i="4"/>
  <c r="Q258" i="1" s="1"/>
  <c r="K258" i="4"/>
  <c r="R258" i="1" s="1"/>
  <c r="S258" i="1"/>
  <c r="T258" i="1"/>
  <c r="O258" i="4"/>
  <c r="P258" i="4"/>
  <c r="W258" i="1" s="1"/>
  <c r="Q258" i="4"/>
  <c r="X258" i="1" s="1"/>
  <c r="R258" i="4"/>
  <c r="Y258" i="1" s="1"/>
  <c r="S258" i="4"/>
  <c r="Z258" i="1" s="1"/>
  <c r="T258" i="4"/>
  <c r="AA258" i="1" s="1"/>
  <c r="K259" i="1"/>
  <c r="M259" i="1" s="1"/>
  <c r="L259" i="1"/>
  <c r="N259" i="1" s="1"/>
  <c r="F259" i="4"/>
  <c r="G259" i="4"/>
  <c r="H259" i="4"/>
  <c r="O259" i="1" s="1"/>
  <c r="I259" i="4"/>
  <c r="P259" i="1" s="1"/>
  <c r="J259" i="4"/>
  <c r="Q259" i="1" s="1"/>
  <c r="K259" i="4"/>
  <c r="R259" i="1" s="1"/>
  <c r="S259" i="1"/>
  <c r="T259" i="1"/>
  <c r="O259" i="4"/>
  <c r="P259" i="4"/>
  <c r="W259" i="1" s="1"/>
  <c r="Q259" i="4"/>
  <c r="X259" i="1" s="1"/>
  <c r="R259" i="4"/>
  <c r="Y259" i="1" s="1"/>
  <c r="S259" i="4"/>
  <c r="Z259" i="1" s="1"/>
  <c r="T259" i="4"/>
  <c r="AA259" i="1" s="1"/>
  <c r="K260" i="1"/>
  <c r="M260" i="1" s="1"/>
  <c r="L260" i="1"/>
  <c r="N260" i="1" s="1"/>
  <c r="F260" i="4"/>
  <c r="G260" i="4"/>
  <c r="H260" i="4"/>
  <c r="O260" i="1" s="1"/>
  <c r="I260" i="4"/>
  <c r="P260" i="1" s="1"/>
  <c r="J260" i="4"/>
  <c r="Q260" i="1" s="1"/>
  <c r="K260" i="4"/>
  <c r="R260" i="1" s="1"/>
  <c r="S260" i="1"/>
  <c r="T260" i="1"/>
  <c r="O260" i="4"/>
  <c r="P260" i="4"/>
  <c r="W260" i="1" s="1"/>
  <c r="Q260" i="4"/>
  <c r="X260" i="1" s="1"/>
  <c r="R260" i="4"/>
  <c r="Y260" i="1" s="1"/>
  <c r="S260" i="4"/>
  <c r="Z260" i="1" s="1"/>
  <c r="T260" i="4"/>
  <c r="AA260" i="1" s="1"/>
  <c r="K261" i="1"/>
  <c r="M261" i="1" s="1"/>
  <c r="L261" i="1"/>
  <c r="N261" i="1" s="1"/>
  <c r="F261" i="4"/>
  <c r="G261" i="4"/>
  <c r="H261" i="4"/>
  <c r="O261" i="1" s="1"/>
  <c r="I261" i="4"/>
  <c r="P261" i="1" s="1"/>
  <c r="J261" i="4"/>
  <c r="Q261" i="1" s="1"/>
  <c r="K261" i="4"/>
  <c r="R261" i="1" s="1"/>
  <c r="S261" i="1"/>
  <c r="T261" i="1"/>
  <c r="O261" i="4"/>
  <c r="P261" i="4"/>
  <c r="W261" i="1" s="1"/>
  <c r="Q261" i="4"/>
  <c r="X261" i="1" s="1"/>
  <c r="R261" i="4"/>
  <c r="Y261" i="1" s="1"/>
  <c r="S261" i="4"/>
  <c r="Z261" i="1" s="1"/>
  <c r="T261" i="4"/>
  <c r="AA261" i="1" s="1"/>
  <c r="K262" i="1"/>
  <c r="M262" i="1" s="1"/>
  <c r="L262" i="1"/>
  <c r="N262" i="1" s="1"/>
  <c r="F262" i="4"/>
  <c r="G262" i="4"/>
  <c r="H262" i="4"/>
  <c r="O262" i="1" s="1"/>
  <c r="I262" i="4"/>
  <c r="P262" i="1" s="1"/>
  <c r="J262" i="4"/>
  <c r="Q262" i="1" s="1"/>
  <c r="K262" i="4"/>
  <c r="R262" i="1" s="1"/>
  <c r="S262" i="1"/>
  <c r="T262" i="1"/>
  <c r="O262" i="4"/>
  <c r="P262" i="4"/>
  <c r="W262" i="1" s="1"/>
  <c r="Q262" i="4"/>
  <c r="X262" i="1" s="1"/>
  <c r="R262" i="4"/>
  <c r="Y262" i="1" s="1"/>
  <c r="S262" i="4"/>
  <c r="Z262" i="1" s="1"/>
  <c r="T262" i="4"/>
  <c r="AA262" i="1" s="1"/>
  <c r="K263" i="1"/>
  <c r="M263" i="1" s="1"/>
  <c r="L263" i="1"/>
  <c r="N263" i="1" s="1"/>
  <c r="F263" i="4"/>
  <c r="G263" i="4"/>
  <c r="H263" i="4"/>
  <c r="O263" i="1" s="1"/>
  <c r="I263" i="4"/>
  <c r="P263" i="1" s="1"/>
  <c r="J263" i="4"/>
  <c r="Q263" i="1" s="1"/>
  <c r="K263" i="4"/>
  <c r="R263" i="1" s="1"/>
  <c r="S263" i="1"/>
  <c r="T263" i="1"/>
  <c r="O263" i="4"/>
  <c r="P263" i="4"/>
  <c r="W263" i="1" s="1"/>
  <c r="Q263" i="4"/>
  <c r="X263" i="1" s="1"/>
  <c r="R263" i="4"/>
  <c r="Y263" i="1" s="1"/>
  <c r="S263" i="4"/>
  <c r="Z263" i="1" s="1"/>
  <c r="T263" i="4"/>
  <c r="AA263" i="1" s="1"/>
  <c r="K264" i="1"/>
  <c r="M264" i="1" s="1"/>
  <c r="L264" i="1"/>
  <c r="N264" i="1" s="1"/>
  <c r="F264" i="4"/>
  <c r="G264" i="4"/>
  <c r="H264" i="4"/>
  <c r="O264" i="1" s="1"/>
  <c r="I264" i="4"/>
  <c r="P264" i="1" s="1"/>
  <c r="J264" i="4"/>
  <c r="Q264" i="1" s="1"/>
  <c r="K264" i="4"/>
  <c r="R264" i="1" s="1"/>
  <c r="S264" i="1"/>
  <c r="T264" i="1"/>
  <c r="O264" i="4"/>
  <c r="P264" i="4"/>
  <c r="W264" i="1" s="1"/>
  <c r="Q264" i="4"/>
  <c r="X264" i="1" s="1"/>
  <c r="R264" i="4"/>
  <c r="Y264" i="1" s="1"/>
  <c r="S264" i="4"/>
  <c r="Z264" i="1" s="1"/>
  <c r="T264" i="4"/>
  <c r="AA264" i="1" s="1"/>
  <c r="K265" i="1"/>
  <c r="M265" i="1" s="1"/>
  <c r="L265" i="1"/>
  <c r="N265" i="1" s="1"/>
  <c r="F265" i="4"/>
  <c r="G265" i="4"/>
  <c r="H265" i="4"/>
  <c r="O265" i="1" s="1"/>
  <c r="I265" i="4"/>
  <c r="P265" i="1" s="1"/>
  <c r="J265" i="4"/>
  <c r="Q265" i="1" s="1"/>
  <c r="K265" i="4"/>
  <c r="R265" i="1" s="1"/>
  <c r="S265" i="1"/>
  <c r="T265" i="1"/>
  <c r="O265" i="4"/>
  <c r="P265" i="4"/>
  <c r="W265" i="1" s="1"/>
  <c r="Q265" i="4"/>
  <c r="X265" i="1" s="1"/>
  <c r="R265" i="4"/>
  <c r="Y265" i="1" s="1"/>
  <c r="S265" i="4"/>
  <c r="Z265" i="1" s="1"/>
  <c r="T265" i="4"/>
  <c r="AA265" i="1" s="1"/>
  <c r="K266" i="1"/>
  <c r="M266" i="1" s="1"/>
  <c r="L266" i="1"/>
  <c r="N266" i="1" s="1"/>
  <c r="F266" i="4"/>
  <c r="G266" i="4"/>
  <c r="H266" i="4"/>
  <c r="O266" i="1" s="1"/>
  <c r="I266" i="4"/>
  <c r="P266" i="1" s="1"/>
  <c r="J266" i="4"/>
  <c r="Q266" i="1" s="1"/>
  <c r="K266" i="4"/>
  <c r="R266" i="1" s="1"/>
  <c r="S266" i="1"/>
  <c r="T266" i="1"/>
  <c r="O266" i="4"/>
  <c r="P266" i="4"/>
  <c r="W266" i="1" s="1"/>
  <c r="Q266" i="4"/>
  <c r="X266" i="1" s="1"/>
  <c r="R266" i="4"/>
  <c r="Y266" i="1" s="1"/>
  <c r="S266" i="4"/>
  <c r="Z266" i="1" s="1"/>
  <c r="T266" i="4"/>
  <c r="AA266" i="1" s="1"/>
  <c r="K267" i="1"/>
  <c r="M267" i="1" s="1"/>
  <c r="L267" i="1"/>
  <c r="N267" i="1" s="1"/>
  <c r="F267" i="4"/>
  <c r="G267" i="4"/>
  <c r="H267" i="4"/>
  <c r="O267" i="1" s="1"/>
  <c r="I267" i="4"/>
  <c r="P267" i="1" s="1"/>
  <c r="J267" i="4"/>
  <c r="Q267" i="1" s="1"/>
  <c r="K267" i="4"/>
  <c r="R267" i="1" s="1"/>
  <c r="S267" i="1"/>
  <c r="T267" i="1"/>
  <c r="O267" i="4"/>
  <c r="P267" i="4"/>
  <c r="W267" i="1" s="1"/>
  <c r="Q267" i="4"/>
  <c r="X267" i="1" s="1"/>
  <c r="R267" i="4"/>
  <c r="Y267" i="1" s="1"/>
  <c r="S267" i="4"/>
  <c r="Z267" i="1" s="1"/>
  <c r="T267" i="4"/>
  <c r="AA267" i="1" s="1"/>
  <c r="K268" i="1"/>
  <c r="M268" i="1" s="1"/>
  <c r="L268" i="1"/>
  <c r="N268" i="1" s="1"/>
  <c r="F268" i="4"/>
  <c r="G268" i="4"/>
  <c r="H268" i="4"/>
  <c r="O268" i="1" s="1"/>
  <c r="I268" i="4"/>
  <c r="P268" i="1" s="1"/>
  <c r="J268" i="4"/>
  <c r="Q268" i="1" s="1"/>
  <c r="K268" i="4"/>
  <c r="R268" i="1" s="1"/>
  <c r="S268" i="1"/>
  <c r="T268" i="1"/>
  <c r="O268" i="4"/>
  <c r="P268" i="4"/>
  <c r="W268" i="1" s="1"/>
  <c r="Q268" i="4"/>
  <c r="X268" i="1" s="1"/>
  <c r="R268" i="4"/>
  <c r="Y268" i="1" s="1"/>
  <c r="S268" i="4"/>
  <c r="Z268" i="1" s="1"/>
  <c r="T268" i="4"/>
  <c r="AA268" i="1" s="1"/>
  <c r="K269" i="1"/>
  <c r="M269" i="1" s="1"/>
  <c r="L269" i="1"/>
  <c r="N269" i="1" s="1"/>
  <c r="F269" i="4"/>
  <c r="G269" i="4"/>
  <c r="H269" i="4"/>
  <c r="O269" i="1" s="1"/>
  <c r="I269" i="4"/>
  <c r="P269" i="1" s="1"/>
  <c r="J269" i="4"/>
  <c r="Q269" i="1" s="1"/>
  <c r="K269" i="4"/>
  <c r="R269" i="1" s="1"/>
  <c r="S269" i="1"/>
  <c r="T269" i="1"/>
  <c r="O269" i="4"/>
  <c r="P269" i="4"/>
  <c r="W269" i="1" s="1"/>
  <c r="Q269" i="4"/>
  <c r="X269" i="1" s="1"/>
  <c r="R269" i="4"/>
  <c r="Y269" i="1" s="1"/>
  <c r="S269" i="4"/>
  <c r="Z269" i="1" s="1"/>
  <c r="T269" i="4"/>
  <c r="AA269" i="1" s="1"/>
  <c r="Q232" i="4"/>
  <c r="X232" i="1" s="1"/>
  <c r="R232" i="4"/>
  <c r="Y232" i="1" s="1"/>
  <c r="S232" i="4"/>
  <c r="Z232" i="1" s="1"/>
  <c r="T232" i="4"/>
  <c r="AA232" i="1" s="1"/>
  <c r="P232" i="4"/>
  <c r="W232" i="1" s="1"/>
  <c r="K121" i="1"/>
  <c r="M121" i="1" s="1"/>
  <c r="L121" i="1"/>
  <c r="N121" i="1" s="1"/>
  <c r="F121" i="4"/>
  <c r="G121" i="4"/>
  <c r="H121" i="4"/>
  <c r="O121" i="1" s="1"/>
  <c r="I121" i="4"/>
  <c r="P121" i="1" s="1"/>
  <c r="J121" i="4"/>
  <c r="Q121" i="1" s="1"/>
  <c r="K121" i="4"/>
  <c r="R121" i="1" s="1"/>
  <c r="L121" i="4"/>
  <c r="S121" i="1" s="1"/>
  <c r="M121" i="4"/>
  <c r="T121" i="1" s="1"/>
  <c r="O121" i="4"/>
  <c r="P121" i="4"/>
  <c r="W121" i="1" s="1"/>
  <c r="Q121" i="4"/>
  <c r="X121" i="1" s="1"/>
  <c r="R121" i="4"/>
  <c r="Y121" i="1" s="1"/>
  <c r="S121" i="4"/>
  <c r="Z121" i="1" s="1"/>
  <c r="T121" i="4"/>
  <c r="AA121" i="1" s="1"/>
  <c r="K122" i="1"/>
  <c r="M122" i="1" s="1"/>
  <c r="L122" i="1"/>
  <c r="N122" i="1" s="1"/>
  <c r="F122" i="4"/>
  <c r="G122" i="4"/>
  <c r="H122" i="4"/>
  <c r="O122" i="1" s="1"/>
  <c r="I122" i="4"/>
  <c r="P122" i="1" s="1"/>
  <c r="J122" i="4"/>
  <c r="Q122" i="1" s="1"/>
  <c r="K122" i="4"/>
  <c r="R122" i="1" s="1"/>
  <c r="L122" i="4"/>
  <c r="S122" i="1" s="1"/>
  <c r="M122" i="4"/>
  <c r="T122" i="1" s="1"/>
  <c r="O122" i="4"/>
  <c r="P122" i="4"/>
  <c r="W122" i="1" s="1"/>
  <c r="Q122" i="4"/>
  <c r="X122" i="1" s="1"/>
  <c r="R122" i="4"/>
  <c r="Y122" i="1" s="1"/>
  <c r="S122" i="4"/>
  <c r="Z122" i="1" s="1"/>
  <c r="T122" i="4"/>
  <c r="AA122" i="1" s="1"/>
  <c r="K123" i="1"/>
  <c r="M123" i="1" s="1"/>
  <c r="L123" i="1"/>
  <c r="N123" i="1" s="1"/>
  <c r="F123" i="4"/>
  <c r="G123" i="4"/>
  <c r="H123" i="4"/>
  <c r="O123" i="1" s="1"/>
  <c r="I123" i="4"/>
  <c r="P123" i="1" s="1"/>
  <c r="J123" i="4"/>
  <c r="Q123" i="1" s="1"/>
  <c r="K123" i="4"/>
  <c r="R123" i="1" s="1"/>
  <c r="L123" i="4"/>
  <c r="S123" i="1" s="1"/>
  <c r="M123" i="4"/>
  <c r="T123" i="1" s="1"/>
  <c r="O123" i="4"/>
  <c r="P123" i="4"/>
  <c r="W123" i="1" s="1"/>
  <c r="Q123" i="4"/>
  <c r="X123" i="1" s="1"/>
  <c r="R123" i="4"/>
  <c r="Y123" i="1" s="1"/>
  <c r="S123" i="4"/>
  <c r="Z123" i="1" s="1"/>
  <c r="T123" i="4"/>
  <c r="AA123" i="1" s="1"/>
  <c r="K124" i="1"/>
  <c r="M124" i="1" s="1"/>
  <c r="L124" i="1"/>
  <c r="N124" i="1" s="1"/>
  <c r="F124" i="4"/>
  <c r="G124" i="4"/>
  <c r="H124" i="4"/>
  <c r="O124" i="1" s="1"/>
  <c r="I124" i="4"/>
  <c r="P124" i="1" s="1"/>
  <c r="J124" i="4"/>
  <c r="Q124" i="1" s="1"/>
  <c r="K124" i="4"/>
  <c r="R124" i="1" s="1"/>
  <c r="L124" i="4"/>
  <c r="S124" i="1" s="1"/>
  <c r="M124" i="4"/>
  <c r="T124" i="1" s="1"/>
  <c r="O124" i="4"/>
  <c r="P124" i="4"/>
  <c r="W124" i="1" s="1"/>
  <c r="Q124" i="4"/>
  <c r="X124" i="1" s="1"/>
  <c r="R124" i="4"/>
  <c r="Y124" i="1" s="1"/>
  <c r="S124" i="4"/>
  <c r="Z124" i="1" s="1"/>
  <c r="T124" i="4"/>
  <c r="AA124" i="1" s="1"/>
  <c r="K125" i="1"/>
  <c r="M125" i="1" s="1"/>
  <c r="L125" i="1"/>
  <c r="N125" i="1" s="1"/>
  <c r="F125" i="4"/>
  <c r="G125" i="4"/>
  <c r="H125" i="4"/>
  <c r="O125" i="1" s="1"/>
  <c r="I125" i="4"/>
  <c r="P125" i="1" s="1"/>
  <c r="J125" i="4"/>
  <c r="Q125" i="1" s="1"/>
  <c r="K125" i="4"/>
  <c r="R125" i="1" s="1"/>
  <c r="L125" i="4"/>
  <c r="S125" i="1" s="1"/>
  <c r="M125" i="4"/>
  <c r="T125" i="1" s="1"/>
  <c r="O125" i="4"/>
  <c r="P125" i="4"/>
  <c r="W125" i="1" s="1"/>
  <c r="Q125" i="4"/>
  <c r="X125" i="1" s="1"/>
  <c r="R125" i="4"/>
  <c r="Y125" i="1" s="1"/>
  <c r="S125" i="4"/>
  <c r="Z125" i="1" s="1"/>
  <c r="T125" i="4"/>
  <c r="AA125" i="1" s="1"/>
  <c r="K126" i="1"/>
  <c r="M126" i="1" s="1"/>
  <c r="L126" i="1"/>
  <c r="N126" i="1" s="1"/>
  <c r="F126" i="4"/>
  <c r="G126" i="4"/>
  <c r="H126" i="4"/>
  <c r="O126" i="1" s="1"/>
  <c r="I126" i="4"/>
  <c r="P126" i="1" s="1"/>
  <c r="J126" i="4"/>
  <c r="Q126" i="1" s="1"/>
  <c r="K126" i="4"/>
  <c r="R126" i="1" s="1"/>
  <c r="L126" i="4"/>
  <c r="S126" i="1" s="1"/>
  <c r="M126" i="4"/>
  <c r="T126" i="1" s="1"/>
  <c r="O126" i="4"/>
  <c r="P126" i="4"/>
  <c r="W126" i="1" s="1"/>
  <c r="Q126" i="4"/>
  <c r="X126" i="1" s="1"/>
  <c r="R126" i="4"/>
  <c r="Y126" i="1" s="1"/>
  <c r="S126" i="4"/>
  <c r="Z126" i="1" s="1"/>
  <c r="T126" i="4"/>
  <c r="AA126" i="1" s="1"/>
  <c r="K127" i="1"/>
  <c r="M127" i="1" s="1"/>
  <c r="L127" i="1"/>
  <c r="N127" i="1" s="1"/>
  <c r="F127" i="4"/>
  <c r="G127" i="4"/>
  <c r="H127" i="4"/>
  <c r="O127" i="1" s="1"/>
  <c r="I127" i="4"/>
  <c r="P127" i="1" s="1"/>
  <c r="J127" i="4"/>
  <c r="Q127" i="1" s="1"/>
  <c r="K127" i="4"/>
  <c r="R127" i="1" s="1"/>
  <c r="L127" i="4"/>
  <c r="S127" i="1" s="1"/>
  <c r="M127" i="4"/>
  <c r="T127" i="1" s="1"/>
  <c r="O127" i="4"/>
  <c r="P127" i="4"/>
  <c r="W127" i="1" s="1"/>
  <c r="Q127" i="4"/>
  <c r="X127" i="1" s="1"/>
  <c r="R127" i="4"/>
  <c r="Y127" i="1" s="1"/>
  <c r="S127" i="4"/>
  <c r="Z127" i="1" s="1"/>
  <c r="T127" i="4"/>
  <c r="AA127" i="1" s="1"/>
  <c r="K128" i="1"/>
  <c r="M128" i="1" s="1"/>
  <c r="L128" i="1"/>
  <c r="N128" i="1" s="1"/>
  <c r="F128" i="4"/>
  <c r="G128" i="4"/>
  <c r="H128" i="4"/>
  <c r="O128" i="1" s="1"/>
  <c r="I128" i="4"/>
  <c r="P128" i="1" s="1"/>
  <c r="J128" i="4"/>
  <c r="Q128" i="1" s="1"/>
  <c r="K128" i="4"/>
  <c r="R128" i="1" s="1"/>
  <c r="L128" i="4"/>
  <c r="S128" i="1" s="1"/>
  <c r="M128" i="4"/>
  <c r="T128" i="1" s="1"/>
  <c r="O128" i="4"/>
  <c r="P128" i="4"/>
  <c r="W128" i="1" s="1"/>
  <c r="Q128" i="4"/>
  <c r="X128" i="1" s="1"/>
  <c r="R128" i="4"/>
  <c r="Y128" i="1" s="1"/>
  <c r="S128" i="4"/>
  <c r="Z128" i="1" s="1"/>
  <c r="T128" i="4"/>
  <c r="AA128" i="1" s="1"/>
  <c r="K129" i="1"/>
  <c r="M129" i="1" s="1"/>
  <c r="L129" i="1"/>
  <c r="N129" i="1" s="1"/>
  <c r="F129" i="4"/>
  <c r="G129" i="4"/>
  <c r="H129" i="4"/>
  <c r="O129" i="1" s="1"/>
  <c r="I129" i="4"/>
  <c r="P129" i="1" s="1"/>
  <c r="J129" i="4"/>
  <c r="Q129" i="1" s="1"/>
  <c r="K129" i="4"/>
  <c r="R129" i="1" s="1"/>
  <c r="L129" i="4"/>
  <c r="S129" i="1" s="1"/>
  <c r="M129" i="4"/>
  <c r="T129" i="1" s="1"/>
  <c r="O129" i="4"/>
  <c r="P129" i="4"/>
  <c r="W129" i="1" s="1"/>
  <c r="Q129" i="4"/>
  <c r="X129" i="1" s="1"/>
  <c r="R129" i="4"/>
  <c r="Y129" i="1" s="1"/>
  <c r="S129" i="4"/>
  <c r="Z129" i="1" s="1"/>
  <c r="T129" i="4"/>
  <c r="AA129" i="1" s="1"/>
  <c r="K130" i="1"/>
  <c r="M130" i="1" s="1"/>
  <c r="L130" i="1"/>
  <c r="N130" i="1" s="1"/>
  <c r="F130" i="4"/>
  <c r="G130" i="4"/>
  <c r="H130" i="4"/>
  <c r="O130" i="1" s="1"/>
  <c r="I130" i="4"/>
  <c r="P130" i="1" s="1"/>
  <c r="J130" i="4"/>
  <c r="Q130" i="1" s="1"/>
  <c r="K130" i="4"/>
  <c r="R130" i="1" s="1"/>
  <c r="L130" i="4"/>
  <c r="S130" i="1" s="1"/>
  <c r="M130" i="4"/>
  <c r="T130" i="1" s="1"/>
  <c r="O130" i="4"/>
  <c r="P130" i="4"/>
  <c r="W130" i="1" s="1"/>
  <c r="Q130" i="4"/>
  <c r="X130" i="1" s="1"/>
  <c r="R130" i="4"/>
  <c r="Y130" i="1" s="1"/>
  <c r="S130" i="4"/>
  <c r="Z130" i="1" s="1"/>
  <c r="T130" i="4"/>
  <c r="AA130" i="1" s="1"/>
  <c r="K131" i="1"/>
  <c r="M131" i="1" s="1"/>
  <c r="L131" i="1"/>
  <c r="N131" i="1" s="1"/>
  <c r="F131" i="4"/>
  <c r="G131" i="4"/>
  <c r="H131" i="4"/>
  <c r="O131" i="1" s="1"/>
  <c r="I131" i="4"/>
  <c r="P131" i="1" s="1"/>
  <c r="J131" i="4"/>
  <c r="Q131" i="1" s="1"/>
  <c r="K131" i="4"/>
  <c r="R131" i="1" s="1"/>
  <c r="L131" i="4"/>
  <c r="S131" i="1" s="1"/>
  <c r="M131" i="4"/>
  <c r="T131" i="1" s="1"/>
  <c r="O131" i="4"/>
  <c r="P131" i="4"/>
  <c r="W131" i="1" s="1"/>
  <c r="Q131" i="4"/>
  <c r="X131" i="1" s="1"/>
  <c r="R131" i="4"/>
  <c r="Y131" i="1" s="1"/>
  <c r="S131" i="4"/>
  <c r="Z131" i="1" s="1"/>
  <c r="T131" i="4"/>
  <c r="AA131" i="1" s="1"/>
  <c r="K132" i="1"/>
  <c r="M132" i="1" s="1"/>
  <c r="L132" i="1"/>
  <c r="N132" i="1" s="1"/>
  <c r="F132" i="4"/>
  <c r="G132" i="4"/>
  <c r="H132" i="4"/>
  <c r="O132" i="1" s="1"/>
  <c r="I132" i="4"/>
  <c r="P132" i="1" s="1"/>
  <c r="J132" i="4"/>
  <c r="Q132" i="1" s="1"/>
  <c r="K132" i="4"/>
  <c r="R132" i="1" s="1"/>
  <c r="L132" i="4"/>
  <c r="S132" i="1" s="1"/>
  <c r="M132" i="4"/>
  <c r="T132" i="1" s="1"/>
  <c r="O132" i="4"/>
  <c r="P132" i="4"/>
  <c r="W132" i="1" s="1"/>
  <c r="Q132" i="4"/>
  <c r="X132" i="1" s="1"/>
  <c r="R132" i="4"/>
  <c r="Y132" i="1" s="1"/>
  <c r="S132" i="4"/>
  <c r="Z132" i="1" s="1"/>
  <c r="T132" i="4"/>
  <c r="AA132" i="1" s="1"/>
  <c r="K133" i="1"/>
  <c r="M133" i="1" s="1"/>
  <c r="L133" i="1"/>
  <c r="N133" i="1" s="1"/>
  <c r="F133" i="4"/>
  <c r="G133" i="4"/>
  <c r="H133" i="4"/>
  <c r="O133" i="1" s="1"/>
  <c r="I133" i="4"/>
  <c r="P133" i="1" s="1"/>
  <c r="J133" i="4"/>
  <c r="Q133" i="1" s="1"/>
  <c r="K133" i="4"/>
  <c r="R133" i="1" s="1"/>
  <c r="L133" i="4"/>
  <c r="S133" i="1" s="1"/>
  <c r="M133" i="4"/>
  <c r="T133" i="1" s="1"/>
  <c r="O133" i="4"/>
  <c r="P133" i="4"/>
  <c r="W133" i="1" s="1"/>
  <c r="Q133" i="4"/>
  <c r="X133" i="1" s="1"/>
  <c r="R133" i="4"/>
  <c r="Y133" i="1" s="1"/>
  <c r="S133" i="4"/>
  <c r="Z133" i="1" s="1"/>
  <c r="T133" i="4"/>
  <c r="AA133" i="1" s="1"/>
  <c r="K134" i="1"/>
  <c r="M134" i="1" s="1"/>
  <c r="L134" i="1"/>
  <c r="N134" i="1" s="1"/>
  <c r="F134" i="4"/>
  <c r="G134" i="4"/>
  <c r="H134" i="4"/>
  <c r="O134" i="1" s="1"/>
  <c r="I134" i="4"/>
  <c r="P134" i="1" s="1"/>
  <c r="J134" i="4"/>
  <c r="Q134" i="1" s="1"/>
  <c r="K134" i="4"/>
  <c r="R134" i="1" s="1"/>
  <c r="L134" i="4"/>
  <c r="S134" i="1" s="1"/>
  <c r="M134" i="4"/>
  <c r="T134" i="1" s="1"/>
  <c r="O134" i="4"/>
  <c r="P134" i="4"/>
  <c r="W134" i="1" s="1"/>
  <c r="Q134" i="4"/>
  <c r="X134" i="1" s="1"/>
  <c r="R134" i="4"/>
  <c r="Y134" i="1" s="1"/>
  <c r="S134" i="4"/>
  <c r="Z134" i="1" s="1"/>
  <c r="T134" i="4"/>
  <c r="AA134" i="1" s="1"/>
  <c r="K135" i="1"/>
  <c r="M135" i="1" s="1"/>
  <c r="L135" i="1"/>
  <c r="N135" i="1" s="1"/>
  <c r="F135" i="4"/>
  <c r="G135" i="4"/>
  <c r="H135" i="4"/>
  <c r="O135" i="1" s="1"/>
  <c r="I135" i="4"/>
  <c r="P135" i="1" s="1"/>
  <c r="J135" i="4"/>
  <c r="Q135" i="1" s="1"/>
  <c r="K135" i="4"/>
  <c r="R135" i="1" s="1"/>
  <c r="L135" i="4"/>
  <c r="S135" i="1" s="1"/>
  <c r="M135" i="4"/>
  <c r="T135" i="1" s="1"/>
  <c r="O135" i="4"/>
  <c r="P135" i="4"/>
  <c r="W135" i="1" s="1"/>
  <c r="Q135" i="4"/>
  <c r="X135" i="1" s="1"/>
  <c r="R135" i="4"/>
  <c r="Y135" i="1" s="1"/>
  <c r="S135" i="4"/>
  <c r="Z135" i="1" s="1"/>
  <c r="T135" i="4"/>
  <c r="AA135" i="1" s="1"/>
  <c r="K136" i="1"/>
  <c r="M136" i="1" s="1"/>
  <c r="L136" i="1"/>
  <c r="N136" i="1" s="1"/>
  <c r="F136" i="4"/>
  <c r="G136" i="4"/>
  <c r="H136" i="4"/>
  <c r="O136" i="1" s="1"/>
  <c r="I136" i="4"/>
  <c r="P136" i="1" s="1"/>
  <c r="J136" i="4"/>
  <c r="Q136" i="1" s="1"/>
  <c r="K136" i="4"/>
  <c r="R136" i="1" s="1"/>
  <c r="L136" i="4"/>
  <c r="S136" i="1" s="1"/>
  <c r="M136" i="4"/>
  <c r="T136" i="1" s="1"/>
  <c r="O136" i="4"/>
  <c r="P136" i="4"/>
  <c r="W136" i="1" s="1"/>
  <c r="Q136" i="4"/>
  <c r="X136" i="1" s="1"/>
  <c r="R136" i="4"/>
  <c r="Y136" i="1" s="1"/>
  <c r="S136" i="4"/>
  <c r="Z136" i="1" s="1"/>
  <c r="T136" i="4"/>
  <c r="AA136" i="1" s="1"/>
  <c r="K137" i="1"/>
  <c r="M137" i="1" s="1"/>
  <c r="L137" i="1"/>
  <c r="N137" i="1" s="1"/>
  <c r="F137" i="4"/>
  <c r="G137" i="4"/>
  <c r="H137" i="4"/>
  <c r="O137" i="1" s="1"/>
  <c r="I137" i="4"/>
  <c r="P137" i="1" s="1"/>
  <c r="J137" i="4"/>
  <c r="Q137" i="1" s="1"/>
  <c r="K137" i="4"/>
  <c r="R137" i="1" s="1"/>
  <c r="L137" i="4"/>
  <c r="S137" i="1" s="1"/>
  <c r="M137" i="4"/>
  <c r="T137" i="1" s="1"/>
  <c r="O137" i="4"/>
  <c r="P137" i="4"/>
  <c r="W137" i="1" s="1"/>
  <c r="Q137" i="4"/>
  <c r="X137" i="1" s="1"/>
  <c r="R137" i="4"/>
  <c r="Y137" i="1" s="1"/>
  <c r="S137" i="4"/>
  <c r="Z137" i="1" s="1"/>
  <c r="T137" i="4"/>
  <c r="AA137" i="1" s="1"/>
  <c r="K138" i="1"/>
  <c r="M138" i="1" s="1"/>
  <c r="L138" i="1"/>
  <c r="N138" i="1" s="1"/>
  <c r="F138" i="4"/>
  <c r="G138" i="4"/>
  <c r="H138" i="4"/>
  <c r="O138" i="1" s="1"/>
  <c r="I138" i="4"/>
  <c r="P138" i="1" s="1"/>
  <c r="J138" i="4"/>
  <c r="Q138" i="1" s="1"/>
  <c r="K138" i="4"/>
  <c r="R138" i="1" s="1"/>
  <c r="L138" i="4"/>
  <c r="S138" i="1" s="1"/>
  <c r="M138" i="4"/>
  <c r="T138" i="1" s="1"/>
  <c r="O138" i="4"/>
  <c r="P138" i="4"/>
  <c r="W138" i="1" s="1"/>
  <c r="Q138" i="4"/>
  <c r="X138" i="1" s="1"/>
  <c r="R138" i="4"/>
  <c r="Y138" i="1" s="1"/>
  <c r="S138" i="4"/>
  <c r="Z138" i="1" s="1"/>
  <c r="T138" i="4"/>
  <c r="AA138" i="1" s="1"/>
  <c r="K139" i="1"/>
  <c r="M139" i="1" s="1"/>
  <c r="L139" i="1"/>
  <c r="N139" i="1" s="1"/>
  <c r="F139" i="4"/>
  <c r="G139" i="4"/>
  <c r="H139" i="4"/>
  <c r="O139" i="1" s="1"/>
  <c r="I139" i="4"/>
  <c r="P139" i="1" s="1"/>
  <c r="J139" i="4"/>
  <c r="Q139" i="1" s="1"/>
  <c r="K139" i="4"/>
  <c r="R139" i="1" s="1"/>
  <c r="L139" i="4"/>
  <c r="S139" i="1" s="1"/>
  <c r="M139" i="4"/>
  <c r="T139" i="1" s="1"/>
  <c r="O139" i="4"/>
  <c r="P139" i="4"/>
  <c r="W139" i="1" s="1"/>
  <c r="Q139" i="4"/>
  <c r="X139" i="1" s="1"/>
  <c r="R139" i="4"/>
  <c r="Y139" i="1" s="1"/>
  <c r="S139" i="4"/>
  <c r="Z139" i="1" s="1"/>
  <c r="T139" i="4"/>
  <c r="AA139" i="1" s="1"/>
  <c r="K140" i="1"/>
  <c r="M140" i="1" s="1"/>
  <c r="L140" i="1"/>
  <c r="N140" i="1" s="1"/>
  <c r="F140" i="4"/>
  <c r="G140" i="4"/>
  <c r="H140" i="4"/>
  <c r="O140" i="1" s="1"/>
  <c r="I140" i="4"/>
  <c r="P140" i="1" s="1"/>
  <c r="J140" i="4"/>
  <c r="Q140" i="1" s="1"/>
  <c r="K140" i="4"/>
  <c r="R140" i="1" s="1"/>
  <c r="L140" i="4"/>
  <c r="S140" i="1" s="1"/>
  <c r="M140" i="4"/>
  <c r="T140" i="1" s="1"/>
  <c r="O140" i="4"/>
  <c r="P140" i="4"/>
  <c r="W140" i="1" s="1"/>
  <c r="Q140" i="4"/>
  <c r="X140" i="1" s="1"/>
  <c r="R140" i="4"/>
  <c r="Y140" i="1" s="1"/>
  <c r="S140" i="4"/>
  <c r="Z140" i="1" s="1"/>
  <c r="T140" i="4"/>
  <c r="AA140" i="1" s="1"/>
  <c r="K142" i="1"/>
  <c r="M142" i="1" s="1"/>
  <c r="L142" i="1"/>
  <c r="N142" i="1" s="1"/>
  <c r="F142" i="4"/>
  <c r="G142" i="4"/>
  <c r="H142" i="4"/>
  <c r="O142" i="1" s="1"/>
  <c r="I142" i="4"/>
  <c r="P142" i="1" s="1"/>
  <c r="J142" i="4"/>
  <c r="Q142" i="1" s="1"/>
  <c r="K142" i="4"/>
  <c r="R142" i="1" s="1"/>
  <c r="L142" i="4"/>
  <c r="S142" i="1" s="1"/>
  <c r="M142" i="4"/>
  <c r="T142" i="1" s="1"/>
  <c r="O142" i="4"/>
  <c r="P142" i="4"/>
  <c r="W142" i="1" s="1"/>
  <c r="Q142" i="4"/>
  <c r="X142" i="1" s="1"/>
  <c r="R142" i="4"/>
  <c r="Y142" i="1" s="1"/>
  <c r="S142" i="4"/>
  <c r="Z142" i="1" s="1"/>
  <c r="T142" i="4"/>
  <c r="AA142" i="1" s="1"/>
  <c r="K143" i="1"/>
  <c r="M143" i="1" s="1"/>
  <c r="L143" i="1"/>
  <c r="N143" i="1" s="1"/>
  <c r="F143" i="4"/>
  <c r="G143" i="4"/>
  <c r="H143" i="4"/>
  <c r="O143" i="1" s="1"/>
  <c r="I143" i="4"/>
  <c r="P143" i="1" s="1"/>
  <c r="J143" i="4"/>
  <c r="Q143" i="1" s="1"/>
  <c r="K143" i="4"/>
  <c r="R143" i="1" s="1"/>
  <c r="L143" i="4"/>
  <c r="S143" i="1" s="1"/>
  <c r="M143" i="4"/>
  <c r="T143" i="1" s="1"/>
  <c r="O143" i="4"/>
  <c r="P143" i="4"/>
  <c r="W143" i="1" s="1"/>
  <c r="Q143" i="4"/>
  <c r="X143" i="1" s="1"/>
  <c r="R143" i="4"/>
  <c r="Y143" i="1" s="1"/>
  <c r="S143" i="4"/>
  <c r="Z143" i="1" s="1"/>
  <c r="T143" i="4"/>
  <c r="AA143" i="1" s="1"/>
  <c r="K144" i="1"/>
  <c r="M144" i="1" s="1"/>
  <c r="L144" i="1"/>
  <c r="N144" i="1" s="1"/>
  <c r="F144" i="4"/>
  <c r="G144" i="4"/>
  <c r="H144" i="4"/>
  <c r="O144" i="1" s="1"/>
  <c r="I144" i="4"/>
  <c r="P144" i="1" s="1"/>
  <c r="J144" i="4"/>
  <c r="Q144" i="1" s="1"/>
  <c r="K144" i="4"/>
  <c r="R144" i="1" s="1"/>
  <c r="L144" i="4"/>
  <c r="S144" i="1" s="1"/>
  <c r="M144" i="4"/>
  <c r="T144" i="1" s="1"/>
  <c r="O144" i="4"/>
  <c r="P144" i="4"/>
  <c r="W144" i="1" s="1"/>
  <c r="Q144" i="4"/>
  <c r="X144" i="1" s="1"/>
  <c r="R144" i="4"/>
  <c r="Y144" i="1" s="1"/>
  <c r="S144" i="4"/>
  <c r="Z144" i="1" s="1"/>
  <c r="T144" i="4"/>
  <c r="AA144" i="1" s="1"/>
  <c r="K145" i="1"/>
  <c r="M145" i="1" s="1"/>
  <c r="L145" i="1"/>
  <c r="N145" i="1" s="1"/>
  <c r="F145" i="4"/>
  <c r="G145" i="4"/>
  <c r="H145" i="4"/>
  <c r="O145" i="1" s="1"/>
  <c r="I145" i="4"/>
  <c r="P145" i="1" s="1"/>
  <c r="J145" i="4"/>
  <c r="Q145" i="1" s="1"/>
  <c r="K145" i="4"/>
  <c r="R145" i="1" s="1"/>
  <c r="L145" i="4"/>
  <c r="S145" i="1" s="1"/>
  <c r="M145" i="4"/>
  <c r="T145" i="1" s="1"/>
  <c r="O145" i="4"/>
  <c r="P145" i="4"/>
  <c r="W145" i="1" s="1"/>
  <c r="Q145" i="4"/>
  <c r="X145" i="1" s="1"/>
  <c r="R145" i="4"/>
  <c r="Y145" i="1" s="1"/>
  <c r="S145" i="4"/>
  <c r="Z145" i="1" s="1"/>
  <c r="T145" i="4"/>
  <c r="AA145" i="1" s="1"/>
  <c r="K146" i="1"/>
  <c r="M146" i="1" s="1"/>
  <c r="L146" i="1"/>
  <c r="N146" i="1" s="1"/>
  <c r="F146" i="4"/>
  <c r="G146" i="4"/>
  <c r="H146" i="4"/>
  <c r="O146" i="1" s="1"/>
  <c r="I146" i="4"/>
  <c r="P146" i="1" s="1"/>
  <c r="J146" i="4"/>
  <c r="Q146" i="1" s="1"/>
  <c r="K146" i="4"/>
  <c r="R146" i="1" s="1"/>
  <c r="L146" i="4"/>
  <c r="S146" i="1" s="1"/>
  <c r="M146" i="4"/>
  <c r="T146" i="1" s="1"/>
  <c r="O146" i="4"/>
  <c r="P146" i="4"/>
  <c r="W146" i="1" s="1"/>
  <c r="Q146" i="4"/>
  <c r="X146" i="1" s="1"/>
  <c r="R146" i="4"/>
  <c r="Y146" i="1" s="1"/>
  <c r="S146" i="4"/>
  <c r="Z146" i="1" s="1"/>
  <c r="T146" i="4"/>
  <c r="AA146" i="1" s="1"/>
  <c r="K147" i="1"/>
  <c r="M147" i="1" s="1"/>
  <c r="L147" i="1"/>
  <c r="N147" i="1" s="1"/>
  <c r="F147" i="4"/>
  <c r="G147" i="4"/>
  <c r="H147" i="4"/>
  <c r="O147" i="1" s="1"/>
  <c r="I147" i="4"/>
  <c r="P147" i="1" s="1"/>
  <c r="J147" i="4"/>
  <c r="Q147" i="1" s="1"/>
  <c r="K147" i="4"/>
  <c r="R147" i="1" s="1"/>
  <c r="L147" i="4"/>
  <c r="S147" i="1" s="1"/>
  <c r="M147" i="4"/>
  <c r="T147" i="1" s="1"/>
  <c r="O147" i="4"/>
  <c r="P147" i="4"/>
  <c r="W147" i="1" s="1"/>
  <c r="Q147" i="4"/>
  <c r="X147" i="1" s="1"/>
  <c r="R147" i="4"/>
  <c r="Y147" i="1" s="1"/>
  <c r="S147" i="4"/>
  <c r="Z147" i="1" s="1"/>
  <c r="T147" i="4"/>
  <c r="AA147" i="1" s="1"/>
  <c r="K148" i="1"/>
  <c r="M148" i="1" s="1"/>
  <c r="L148" i="1"/>
  <c r="N148" i="1" s="1"/>
  <c r="F148" i="4"/>
  <c r="G148" i="4"/>
  <c r="H148" i="4"/>
  <c r="O148" i="1" s="1"/>
  <c r="I148" i="4"/>
  <c r="P148" i="1" s="1"/>
  <c r="J148" i="4"/>
  <c r="Q148" i="1" s="1"/>
  <c r="K148" i="4"/>
  <c r="R148" i="1" s="1"/>
  <c r="L148" i="4"/>
  <c r="S148" i="1" s="1"/>
  <c r="M148" i="4"/>
  <c r="T148" i="1" s="1"/>
  <c r="O148" i="4"/>
  <c r="P148" i="4"/>
  <c r="W148" i="1" s="1"/>
  <c r="Q148" i="4"/>
  <c r="X148" i="1" s="1"/>
  <c r="R148" i="4"/>
  <c r="Y148" i="1" s="1"/>
  <c r="S148" i="4"/>
  <c r="Z148" i="1" s="1"/>
  <c r="T148" i="4"/>
  <c r="AA148" i="1" s="1"/>
  <c r="K149" i="1"/>
  <c r="M149" i="1" s="1"/>
  <c r="L149" i="1"/>
  <c r="N149" i="1" s="1"/>
  <c r="F149" i="4"/>
  <c r="G149" i="4"/>
  <c r="H149" i="4"/>
  <c r="O149" i="1" s="1"/>
  <c r="I149" i="4"/>
  <c r="P149" i="1" s="1"/>
  <c r="J149" i="4"/>
  <c r="Q149" i="1" s="1"/>
  <c r="K149" i="4"/>
  <c r="R149" i="1" s="1"/>
  <c r="L149" i="4"/>
  <c r="S149" i="1" s="1"/>
  <c r="M149" i="4"/>
  <c r="T149" i="1" s="1"/>
  <c r="O149" i="4"/>
  <c r="P149" i="4"/>
  <c r="W149" i="1" s="1"/>
  <c r="Q149" i="4"/>
  <c r="X149" i="1" s="1"/>
  <c r="R149" i="4"/>
  <c r="Y149" i="1" s="1"/>
  <c r="S149" i="4"/>
  <c r="Z149" i="1" s="1"/>
  <c r="T149" i="4"/>
  <c r="AA149" i="1" s="1"/>
  <c r="K150" i="1"/>
  <c r="M150" i="1" s="1"/>
  <c r="L150" i="1"/>
  <c r="N150" i="1" s="1"/>
  <c r="F150" i="4"/>
  <c r="G150" i="4"/>
  <c r="H150" i="4"/>
  <c r="O150" i="1" s="1"/>
  <c r="I150" i="4"/>
  <c r="P150" i="1" s="1"/>
  <c r="J150" i="4"/>
  <c r="Q150" i="1" s="1"/>
  <c r="K150" i="4"/>
  <c r="R150" i="1" s="1"/>
  <c r="L150" i="4"/>
  <c r="S150" i="1" s="1"/>
  <c r="M150" i="4"/>
  <c r="T150" i="1" s="1"/>
  <c r="O150" i="4"/>
  <c r="P150" i="4"/>
  <c r="W150" i="1" s="1"/>
  <c r="Q150" i="4"/>
  <c r="X150" i="1" s="1"/>
  <c r="R150" i="4"/>
  <c r="Y150" i="1" s="1"/>
  <c r="S150" i="4"/>
  <c r="Z150" i="1" s="1"/>
  <c r="T150" i="4"/>
  <c r="AA150" i="1" s="1"/>
  <c r="K151" i="1"/>
  <c r="M151" i="1" s="1"/>
  <c r="L151" i="1"/>
  <c r="N151" i="1" s="1"/>
  <c r="F151" i="4"/>
  <c r="G151" i="4"/>
  <c r="H151" i="4"/>
  <c r="O151" i="1" s="1"/>
  <c r="I151" i="4"/>
  <c r="P151" i="1" s="1"/>
  <c r="J151" i="4"/>
  <c r="Q151" i="1" s="1"/>
  <c r="K151" i="4"/>
  <c r="R151" i="1" s="1"/>
  <c r="L151" i="4"/>
  <c r="S151" i="1" s="1"/>
  <c r="M151" i="4"/>
  <c r="T151" i="1" s="1"/>
  <c r="O151" i="4"/>
  <c r="P151" i="4"/>
  <c r="W151" i="1" s="1"/>
  <c r="Q151" i="4"/>
  <c r="X151" i="1" s="1"/>
  <c r="R151" i="4"/>
  <c r="Y151" i="1" s="1"/>
  <c r="S151" i="4"/>
  <c r="Z151" i="1" s="1"/>
  <c r="T151" i="4"/>
  <c r="AA151" i="1" s="1"/>
  <c r="K152" i="1"/>
  <c r="M152" i="1" s="1"/>
  <c r="L152" i="1"/>
  <c r="N152" i="1" s="1"/>
  <c r="F152" i="4"/>
  <c r="G152" i="4"/>
  <c r="H152" i="4"/>
  <c r="O152" i="1" s="1"/>
  <c r="I152" i="4"/>
  <c r="P152" i="1" s="1"/>
  <c r="J152" i="4"/>
  <c r="Q152" i="1" s="1"/>
  <c r="K152" i="4"/>
  <c r="R152" i="1" s="1"/>
  <c r="L152" i="4"/>
  <c r="S152" i="1" s="1"/>
  <c r="M152" i="4"/>
  <c r="T152" i="1" s="1"/>
  <c r="O152" i="4"/>
  <c r="P152" i="4"/>
  <c r="W152" i="1" s="1"/>
  <c r="Q152" i="4"/>
  <c r="X152" i="1" s="1"/>
  <c r="R152" i="4"/>
  <c r="Y152" i="1" s="1"/>
  <c r="S152" i="4"/>
  <c r="Z152" i="1" s="1"/>
  <c r="T152" i="4"/>
  <c r="AA152" i="1" s="1"/>
  <c r="K153" i="1"/>
  <c r="M153" i="1" s="1"/>
  <c r="L153" i="1"/>
  <c r="N153" i="1" s="1"/>
  <c r="F153" i="4"/>
  <c r="G153" i="4"/>
  <c r="H153" i="4"/>
  <c r="O153" i="1" s="1"/>
  <c r="I153" i="4"/>
  <c r="P153" i="1" s="1"/>
  <c r="J153" i="4"/>
  <c r="Q153" i="1" s="1"/>
  <c r="K153" i="4"/>
  <c r="R153" i="1" s="1"/>
  <c r="L153" i="4"/>
  <c r="S153" i="1" s="1"/>
  <c r="M153" i="4"/>
  <c r="T153" i="1" s="1"/>
  <c r="O153" i="4"/>
  <c r="P153" i="4"/>
  <c r="W153" i="1" s="1"/>
  <c r="Q153" i="4"/>
  <c r="X153" i="1" s="1"/>
  <c r="R153" i="4"/>
  <c r="Y153" i="1" s="1"/>
  <c r="S153" i="4"/>
  <c r="Z153" i="1" s="1"/>
  <c r="T153" i="4"/>
  <c r="AA153" i="1" s="1"/>
  <c r="K154" i="1"/>
  <c r="M154" i="1" s="1"/>
  <c r="L154" i="1"/>
  <c r="N154" i="1" s="1"/>
  <c r="F154" i="4"/>
  <c r="G154" i="4"/>
  <c r="H154" i="4"/>
  <c r="O154" i="1" s="1"/>
  <c r="I154" i="4"/>
  <c r="P154" i="1" s="1"/>
  <c r="J154" i="4"/>
  <c r="Q154" i="1" s="1"/>
  <c r="K154" i="4"/>
  <c r="R154" i="1" s="1"/>
  <c r="L154" i="4"/>
  <c r="S154" i="1" s="1"/>
  <c r="M154" i="4"/>
  <c r="T154" i="1" s="1"/>
  <c r="O154" i="4"/>
  <c r="P154" i="4"/>
  <c r="W154" i="1" s="1"/>
  <c r="Q154" i="4"/>
  <c r="X154" i="1" s="1"/>
  <c r="R154" i="4"/>
  <c r="Y154" i="1" s="1"/>
  <c r="S154" i="4"/>
  <c r="Z154" i="1" s="1"/>
  <c r="T154" i="4"/>
  <c r="AA154" i="1" s="1"/>
  <c r="K155" i="1"/>
  <c r="M155" i="1" s="1"/>
  <c r="L155" i="1"/>
  <c r="N155" i="1" s="1"/>
  <c r="F155" i="4"/>
  <c r="G155" i="4"/>
  <c r="H155" i="4"/>
  <c r="O155" i="1" s="1"/>
  <c r="I155" i="4"/>
  <c r="P155" i="1" s="1"/>
  <c r="J155" i="4"/>
  <c r="Q155" i="1" s="1"/>
  <c r="K155" i="4"/>
  <c r="R155" i="1" s="1"/>
  <c r="L155" i="4"/>
  <c r="S155" i="1" s="1"/>
  <c r="M155" i="4"/>
  <c r="T155" i="1" s="1"/>
  <c r="O155" i="4"/>
  <c r="P155" i="4"/>
  <c r="W155" i="1" s="1"/>
  <c r="Q155" i="4"/>
  <c r="X155" i="1" s="1"/>
  <c r="R155" i="4"/>
  <c r="Y155" i="1" s="1"/>
  <c r="S155" i="4"/>
  <c r="Z155" i="1" s="1"/>
  <c r="T155" i="4"/>
  <c r="AA155" i="1" s="1"/>
  <c r="K156" i="1"/>
  <c r="M156" i="1" s="1"/>
  <c r="L156" i="1"/>
  <c r="N156" i="1" s="1"/>
  <c r="F156" i="4"/>
  <c r="G156" i="4"/>
  <c r="H156" i="4"/>
  <c r="O156" i="1" s="1"/>
  <c r="I156" i="4"/>
  <c r="P156" i="1" s="1"/>
  <c r="J156" i="4"/>
  <c r="Q156" i="1" s="1"/>
  <c r="K156" i="4"/>
  <c r="R156" i="1" s="1"/>
  <c r="L156" i="4"/>
  <c r="S156" i="1" s="1"/>
  <c r="M156" i="4"/>
  <c r="T156" i="1" s="1"/>
  <c r="O156" i="4"/>
  <c r="P156" i="4"/>
  <c r="W156" i="1" s="1"/>
  <c r="Q156" i="4"/>
  <c r="X156" i="1" s="1"/>
  <c r="R156" i="4"/>
  <c r="Y156" i="1" s="1"/>
  <c r="S156" i="4"/>
  <c r="Z156" i="1" s="1"/>
  <c r="T156" i="4"/>
  <c r="AA156" i="1" s="1"/>
  <c r="K157" i="1"/>
  <c r="M157" i="1" s="1"/>
  <c r="L157" i="1"/>
  <c r="N157" i="1" s="1"/>
  <c r="F157" i="4"/>
  <c r="G157" i="4"/>
  <c r="H157" i="4"/>
  <c r="O157" i="1" s="1"/>
  <c r="I157" i="4"/>
  <c r="P157" i="1" s="1"/>
  <c r="J157" i="4"/>
  <c r="Q157" i="1" s="1"/>
  <c r="K157" i="4"/>
  <c r="R157" i="1" s="1"/>
  <c r="L157" i="4"/>
  <c r="S157" i="1" s="1"/>
  <c r="M157" i="4"/>
  <c r="T157" i="1" s="1"/>
  <c r="O157" i="4"/>
  <c r="P157" i="4"/>
  <c r="W157" i="1" s="1"/>
  <c r="Q157" i="4"/>
  <c r="X157" i="1" s="1"/>
  <c r="R157" i="4"/>
  <c r="Y157" i="1" s="1"/>
  <c r="S157" i="4"/>
  <c r="Z157" i="1" s="1"/>
  <c r="T157" i="4"/>
  <c r="AA157" i="1" s="1"/>
  <c r="F120" i="4"/>
  <c r="G120" i="4"/>
  <c r="H120" i="4"/>
  <c r="O120" i="1" s="1"/>
  <c r="I120" i="4"/>
  <c r="P120" i="1" s="1"/>
  <c r="T120" i="4"/>
  <c r="AA120" i="1" s="1"/>
  <c r="S120" i="4"/>
  <c r="Z120" i="1" s="1"/>
  <c r="R120" i="4"/>
  <c r="Y120" i="1" s="1"/>
  <c r="Q120" i="4"/>
  <c r="X120" i="1" s="1"/>
  <c r="P120" i="4"/>
  <c r="W120" i="1" s="1"/>
  <c r="O120" i="4"/>
  <c r="B266" i="4"/>
  <c r="C266" i="4"/>
  <c r="B267" i="4"/>
  <c r="C267" i="4"/>
  <c r="B268" i="4"/>
  <c r="C268" i="4"/>
  <c r="B269" i="4"/>
  <c r="C269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32" i="4"/>
  <c r="B154" i="4"/>
  <c r="C154" i="4"/>
  <c r="B155" i="4"/>
  <c r="C155" i="4"/>
  <c r="B156" i="4"/>
  <c r="C156" i="4"/>
  <c r="B157" i="4"/>
  <c r="C157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20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232" i="4"/>
  <c r="B120" i="4"/>
  <c r="G266" i="1"/>
  <c r="G267" i="1"/>
  <c r="G268" i="1"/>
  <c r="G269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32" i="1"/>
  <c r="G154" i="1"/>
  <c r="G155" i="1"/>
  <c r="G156" i="1"/>
  <c r="G157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20" i="1"/>
  <c r="O232" i="4" l="1"/>
  <c r="T232" i="1"/>
  <c r="S232" i="1"/>
  <c r="K232" i="4"/>
  <c r="R232" i="1" s="1"/>
  <c r="J232" i="4"/>
  <c r="Q232" i="1" s="1"/>
  <c r="I232" i="4"/>
  <c r="P232" i="1" s="1"/>
  <c r="H232" i="4"/>
  <c r="O232" i="1" s="1"/>
  <c r="G232" i="4"/>
  <c r="F232" i="4"/>
  <c r="L232" i="1"/>
  <c r="N232" i="1" s="1"/>
  <c r="M120" i="4"/>
  <c r="T120" i="1" s="1"/>
  <c r="L120" i="4"/>
  <c r="S120" i="1" s="1"/>
  <c r="K120" i="4"/>
  <c r="R120" i="1" s="1"/>
  <c r="J120" i="4"/>
  <c r="Q120" i="1" s="1"/>
  <c r="L120" i="1"/>
  <c r="N120" i="1" s="1"/>
  <c r="D8" i="4"/>
  <c r="D64" i="4" l="1"/>
  <c r="K64" i="1" s="1"/>
  <c r="M64" i="1" s="1"/>
  <c r="D176" i="4"/>
  <c r="K176" i="1" s="1"/>
  <c r="M176" i="1" s="1"/>
  <c r="K8" i="1"/>
  <c r="M8" i="1" s="1"/>
  <c r="D232" i="4"/>
  <c r="D120" i="4"/>
  <c r="K120" i="1" s="1"/>
  <c r="M120" i="1" s="1"/>
  <c r="K232" i="1"/>
  <c r="M232" i="1" s="1"/>
</calcChain>
</file>

<file path=xl/sharedStrings.xml><?xml version="1.0" encoding="utf-8"?>
<sst xmlns="http://schemas.openxmlformats.org/spreadsheetml/2006/main" count="1151" uniqueCount="340">
  <si>
    <t>Both</t>
  </si>
  <si>
    <t>catPhyAtk</t>
  </si>
  <si>
    <t>catMaxPhyAtk</t>
  </si>
  <si>
    <t>catMagAtk</t>
  </si>
  <si>
    <t>catMaxMagAtk</t>
  </si>
  <si>
    <t>catTaoAtk</t>
  </si>
  <si>
    <t>catMaxTaoAtk</t>
  </si>
  <si>
    <t>catPhyDef</t>
  </si>
  <si>
    <t>catMaxPhyDef</t>
  </si>
  <si>
    <t>catMagDef</t>
  </si>
  <si>
    <t>catMaxMagDef</t>
  </si>
  <si>
    <t>catMaxHp</t>
  </si>
  <si>
    <t>catMaxMp</t>
  </si>
  <si>
    <t>catAccurate</t>
  </si>
  <si>
    <t>catAgility</t>
  </si>
  <si>
    <t>TemplateID</t>
    <phoneticPr fontId="1" type="noConversion"/>
  </si>
  <si>
    <t>Description</t>
    <phoneticPr fontId="1" type="noConversion"/>
  </si>
  <si>
    <t>Both</t>
    <phoneticPr fontId="1" type="noConversion"/>
  </si>
  <si>
    <t>默认数据行</t>
    <phoneticPr fontId="1" type="noConversion"/>
  </si>
  <si>
    <t>标准物理型</t>
    <phoneticPr fontId="1" type="noConversion"/>
  </si>
  <si>
    <t>战士模板</t>
    <phoneticPr fontId="1" type="noConversion"/>
  </si>
  <si>
    <t>标准NPC</t>
    <phoneticPr fontId="1" type="noConversion"/>
  </si>
  <si>
    <t>物件模板</t>
    <phoneticPr fontId="1" type="noConversion"/>
  </si>
  <si>
    <t>稻草人</t>
    <phoneticPr fontId="1" type="noConversion"/>
  </si>
  <si>
    <t>钉耙猫</t>
    <phoneticPr fontId="1" type="noConversion"/>
  </si>
  <si>
    <t>半兽人战士</t>
    <phoneticPr fontId="1" type="noConversion"/>
  </si>
  <si>
    <t>鹿</t>
    <phoneticPr fontId="1" type="noConversion"/>
  </si>
  <si>
    <t>残肢僵尸</t>
    <phoneticPr fontId="1" type="noConversion"/>
  </si>
  <si>
    <t>和尚僵尸</t>
    <phoneticPr fontId="1" type="noConversion"/>
  </si>
  <si>
    <t>道士僵尸</t>
    <phoneticPr fontId="1" type="noConversion"/>
  </si>
  <si>
    <t>矿区小蝙蝠</t>
    <phoneticPr fontId="1" type="noConversion"/>
  </si>
  <si>
    <t>暗黑战士</t>
    <phoneticPr fontId="1" type="noConversion"/>
  </si>
  <si>
    <t>沃玛勇士</t>
    <phoneticPr fontId="1" type="noConversion"/>
  </si>
  <si>
    <t>沃玛战将</t>
    <phoneticPr fontId="1" type="noConversion"/>
  </si>
  <si>
    <t>火焰沃玛</t>
    <phoneticPr fontId="1" type="noConversion"/>
  </si>
  <si>
    <t>盔甲虫</t>
    <phoneticPr fontId="1" type="noConversion"/>
  </si>
  <si>
    <t>狼</t>
    <phoneticPr fontId="1" type="noConversion"/>
  </si>
  <si>
    <t>多角虫</t>
    <phoneticPr fontId="1" type="noConversion"/>
  </si>
  <si>
    <t>蜈蚣</t>
    <phoneticPr fontId="1" type="noConversion"/>
  </si>
  <si>
    <t>巨型蠕虫</t>
    <phoneticPr fontId="1" type="noConversion"/>
  </si>
  <si>
    <t>钳虫</t>
    <phoneticPr fontId="1" type="noConversion"/>
  </si>
  <si>
    <t>跳跳蜂</t>
    <phoneticPr fontId="1" type="noConversion"/>
  </si>
  <si>
    <t>恶蛆</t>
    <phoneticPr fontId="1" type="noConversion"/>
  </si>
  <si>
    <t>红野猪</t>
    <phoneticPr fontId="1" type="noConversion"/>
  </si>
  <si>
    <t>黑野猪</t>
    <phoneticPr fontId="1" type="noConversion"/>
  </si>
  <si>
    <t>白野猪</t>
    <phoneticPr fontId="1" type="noConversion"/>
  </si>
  <si>
    <t>虹魔猪卫</t>
    <phoneticPr fontId="1" type="noConversion"/>
  </si>
  <si>
    <t>虹魔蝎卫</t>
    <phoneticPr fontId="1" type="noConversion"/>
  </si>
  <si>
    <t>尸王</t>
    <phoneticPr fontId="1" type="noConversion"/>
  </si>
  <si>
    <t>黄泉教主</t>
    <phoneticPr fontId="1" type="noConversion"/>
  </si>
  <si>
    <t>巨型多角虫</t>
    <phoneticPr fontId="1" type="noConversion"/>
  </si>
  <si>
    <t>魔龙教主</t>
    <phoneticPr fontId="1" type="noConversion"/>
  </si>
  <si>
    <t>沃玛教主</t>
    <phoneticPr fontId="1" type="noConversion"/>
  </si>
  <si>
    <t>触龙神</t>
    <phoneticPr fontId="1" type="noConversion"/>
  </si>
  <si>
    <t>虹魔教主</t>
    <phoneticPr fontId="1" type="noConversion"/>
  </si>
  <si>
    <t>卫士</t>
    <phoneticPr fontId="1" type="noConversion"/>
  </si>
  <si>
    <t>弓箭手</t>
    <phoneticPr fontId="1" type="noConversion"/>
  </si>
  <si>
    <t>木桩</t>
    <phoneticPr fontId="1" type="noConversion"/>
  </si>
  <si>
    <t>中血量图腾</t>
    <phoneticPr fontId="1" type="noConversion"/>
  </si>
  <si>
    <t>低血量图腾</t>
    <phoneticPr fontId="1" type="noConversion"/>
  </si>
  <si>
    <t>高血量图腾</t>
    <phoneticPr fontId="1" type="noConversion"/>
  </si>
  <si>
    <t>变异骷髅</t>
    <phoneticPr fontId="1" type="noConversion"/>
  </si>
  <si>
    <t>神兽</t>
    <phoneticPr fontId="1" type="noConversion"/>
  </si>
  <si>
    <t>catHpRecovery</t>
  </si>
  <si>
    <t>catHpRecoveryTap</t>
  </si>
  <si>
    <t>catTapIncrease</t>
  </si>
  <si>
    <t>半兽人战士_BJC</t>
    <phoneticPr fontId="1" type="noConversion"/>
  </si>
  <si>
    <t>半兽人战士_BQS</t>
    <phoneticPr fontId="1" type="noConversion"/>
  </si>
  <si>
    <t>半兽人勇士</t>
    <phoneticPr fontId="1" type="noConversion"/>
  </si>
  <si>
    <t>半兽人勇士_BJC</t>
    <phoneticPr fontId="1" type="noConversion"/>
  </si>
  <si>
    <t>半兽人勇士_BQS</t>
    <phoneticPr fontId="1" type="noConversion"/>
  </si>
  <si>
    <t>半兽人_BJC</t>
    <phoneticPr fontId="1" type="noConversion"/>
  </si>
  <si>
    <t>魔化半兽人勇士</t>
    <phoneticPr fontId="1" type="noConversion"/>
  </si>
  <si>
    <t>半兽人首领-刚鬃</t>
    <phoneticPr fontId="1" type="noConversion"/>
  </si>
  <si>
    <t>大勇</t>
    <phoneticPr fontId="1" type="noConversion"/>
  </si>
  <si>
    <t>尸王</t>
    <phoneticPr fontId="1" type="noConversion"/>
  </si>
  <si>
    <t>沃玛教主</t>
    <phoneticPr fontId="1" type="noConversion"/>
  </si>
  <si>
    <t>触龙神</t>
    <phoneticPr fontId="1" type="noConversion"/>
  </si>
  <si>
    <t>Both</t>
    <phoneticPr fontId="1" type="noConversion"/>
  </si>
  <si>
    <t>Map</t>
    <phoneticPr fontId="1" type="noConversion"/>
  </si>
  <si>
    <t>所在地图</t>
    <phoneticPr fontId="1" type="noConversion"/>
  </si>
  <si>
    <t>盟重</t>
  </si>
  <si>
    <t>盟重</t>
    <phoneticPr fontId="1" type="noConversion"/>
  </si>
  <si>
    <t>比奇矿区</t>
  </si>
  <si>
    <t>边界村</t>
  </si>
  <si>
    <t>边界村</t>
    <phoneticPr fontId="1" type="noConversion"/>
  </si>
  <si>
    <t>比奇省</t>
  </si>
  <si>
    <t>比奇省</t>
    <phoneticPr fontId="1" type="noConversion"/>
  </si>
  <si>
    <t>比奇省</t>
    <phoneticPr fontId="1" type="noConversion"/>
  </si>
  <si>
    <t>比奇矿区</t>
    <phoneticPr fontId="1" type="noConversion"/>
  </si>
  <si>
    <t>沃玛寺庙</t>
  </si>
  <si>
    <t>沃玛寺庙</t>
    <phoneticPr fontId="1" type="noConversion"/>
  </si>
  <si>
    <t>死亡峡谷</t>
  </si>
  <si>
    <t>死亡峡谷</t>
    <phoneticPr fontId="1" type="noConversion"/>
  </si>
  <si>
    <t>石墓</t>
  </si>
  <si>
    <t>石墓</t>
    <phoneticPr fontId="1" type="noConversion"/>
  </si>
  <si>
    <t>虹魔教坛</t>
  </si>
  <si>
    <t>虹魔教坛</t>
    <phoneticPr fontId="1" type="noConversion"/>
  </si>
  <si>
    <t>沃玛寺庙</t>
    <phoneticPr fontId="1" type="noConversion"/>
  </si>
  <si>
    <t>死亡峡谷</t>
    <phoneticPr fontId="1" type="noConversion"/>
  </si>
  <si>
    <t>练功师</t>
    <phoneticPr fontId="1" type="noConversion"/>
  </si>
  <si>
    <t>PatternID</t>
    <phoneticPr fontId="1" type="noConversion"/>
  </si>
  <si>
    <t>Exp</t>
    <phoneticPr fontId="1" type="noConversion"/>
  </si>
  <si>
    <t>Soul</t>
    <phoneticPr fontId="1" type="noConversion"/>
  </si>
  <si>
    <t>Server</t>
    <phoneticPr fontId="1" type="noConversion"/>
  </si>
  <si>
    <t>比奇矿区</t>
    <phoneticPr fontId="1" type="noConversion"/>
  </si>
  <si>
    <t>死亡峡谷</t>
    <phoneticPr fontId="1" type="noConversion"/>
  </si>
  <si>
    <t>沃玛寺庙</t>
    <phoneticPr fontId="1" type="noConversion"/>
  </si>
  <si>
    <t>盟重</t>
    <phoneticPr fontId="1" type="noConversion"/>
  </si>
  <si>
    <t>苍月岛</t>
    <phoneticPr fontId="1" type="noConversion"/>
  </si>
  <si>
    <t>直立僵尸</t>
    <phoneticPr fontId="1" type="noConversion"/>
  </si>
  <si>
    <t>直立僵尸1</t>
    <phoneticPr fontId="1" type="noConversion"/>
  </si>
  <si>
    <t>残肢僵尸1</t>
    <phoneticPr fontId="1" type="noConversion"/>
  </si>
  <si>
    <t>残肢僵尸2</t>
    <phoneticPr fontId="1" type="noConversion"/>
  </si>
  <si>
    <t>直立僵尸2</t>
    <phoneticPr fontId="1" type="noConversion"/>
  </si>
  <si>
    <t>残肢僵尸1</t>
    <phoneticPr fontId="1" type="noConversion"/>
  </si>
  <si>
    <t>直立僵尸2</t>
    <phoneticPr fontId="1" type="noConversion"/>
  </si>
  <si>
    <t>半兽人</t>
    <phoneticPr fontId="1" type="noConversion"/>
  </si>
  <si>
    <t>双头半兽人</t>
    <phoneticPr fontId="1" type="noConversion"/>
  </si>
  <si>
    <t>沃玛森林</t>
    <phoneticPr fontId="1" type="noConversion"/>
  </si>
  <si>
    <t>边界村</t>
    <phoneticPr fontId="1" type="noConversion"/>
  </si>
  <si>
    <t>沃玛森林</t>
    <phoneticPr fontId="1" type="noConversion"/>
  </si>
  <si>
    <t>双头金刚</t>
    <phoneticPr fontId="1" type="noConversion"/>
  </si>
  <si>
    <t>祖玛老鼠</t>
    <phoneticPr fontId="1" type="noConversion"/>
  </si>
  <si>
    <t>祖玛卫士枪</t>
    <phoneticPr fontId="1" type="noConversion"/>
  </si>
  <si>
    <t>祖玛卫士弓</t>
    <phoneticPr fontId="1" type="noConversion"/>
  </si>
  <si>
    <t>祖玛卫士锤</t>
    <phoneticPr fontId="1" type="noConversion"/>
  </si>
  <si>
    <t>祖玛寺庙</t>
    <phoneticPr fontId="1" type="noConversion"/>
  </si>
  <si>
    <t>祖玛寺庙</t>
    <phoneticPr fontId="1" type="noConversion"/>
  </si>
  <si>
    <t>祖玛寺庙</t>
    <phoneticPr fontId="1" type="noConversion"/>
  </si>
  <si>
    <t>祖玛教主</t>
    <phoneticPr fontId="1" type="noConversion"/>
  </si>
  <si>
    <t>虹魔教坛</t>
    <phoneticPr fontId="1" type="noConversion"/>
  </si>
  <si>
    <t>祖玛寺庙</t>
    <phoneticPr fontId="1" type="noConversion"/>
  </si>
  <si>
    <t>Index</t>
  </si>
  <si>
    <t>PackageFolder</t>
  </si>
  <si>
    <t>0</t>
  </si>
  <si>
    <t>PhyType.StandardPhyType</t>
  </si>
  <si>
    <t>NPC_Pattern</t>
  </si>
  <si>
    <t>DefaultNPCPattern.Sample</t>
  </si>
  <si>
    <t>PhyType.NewNpcType</t>
  </si>
  <si>
    <t>SceneObjectPattern.SceneObject01</t>
  </si>
  <si>
    <t>ScriptName</t>
  </si>
  <si>
    <t>PatternName</t>
  </si>
  <si>
    <t>StandardPhyType_func</t>
  </si>
  <si>
    <t>StandardPhyType_func.lua</t>
  </si>
  <si>
    <t>sample_func</t>
  </si>
  <si>
    <t>main.lua</t>
  </si>
  <si>
    <t>ScnObj</t>
  </si>
  <si>
    <t>ScnObj.lua</t>
  </si>
  <si>
    <t>TemplateID</t>
  </si>
  <si>
    <t>耐艹稻草人</t>
    <phoneticPr fontId="1" type="noConversion"/>
  </si>
  <si>
    <t>耐艹稻草人</t>
    <phoneticPr fontId="1" type="noConversion"/>
  </si>
  <si>
    <t>边界村</t>
    <phoneticPr fontId="1" type="noConversion"/>
  </si>
  <si>
    <t>皇宫墙</t>
    <phoneticPr fontId="1" type="noConversion"/>
  </si>
  <si>
    <t>城门</t>
    <phoneticPr fontId="1" type="noConversion"/>
  </si>
  <si>
    <t>狼王</t>
    <phoneticPr fontId="1" type="noConversion"/>
  </si>
  <si>
    <t>邪恶钳虫</t>
    <phoneticPr fontId="1" type="noConversion"/>
  </si>
  <si>
    <t>白野猪</t>
  </si>
  <si>
    <t>虹魔蝎卫</t>
  </si>
  <si>
    <t>虹魔猪卫</t>
  </si>
  <si>
    <t>沃玛战士</t>
    <phoneticPr fontId="1" type="noConversion"/>
  </si>
  <si>
    <t>沃玛卫士</t>
    <phoneticPr fontId="1" type="noConversion"/>
  </si>
  <si>
    <t>catRepelResist</t>
    <phoneticPr fontId="1" type="noConversion"/>
  </si>
  <si>
    <t>熊</t>
    <phoneticPr fontId="1" type="noConversion"/>
  </si>
  <si>
    <t>熊</t>
    <phoneticPr fontId="1" type="noConversion"/>
  </si>
  <si>
    <t>半兽人营帐</t>
    <phoneticPr fontId="1" type="noConversion"/>
  </si>
  <si>
    <t>半兽人图腾</t>
    <phoneticPr fontId="1" type="noConversion"/>
  </si>
  <si>
    <t>角蝇巢穴</t>
    <phoneticPr fontId="1" type="noConversion"/>
  </si>
  <si>
    <t>角蝇</t>
    <phoneticPr fontId="1" type="noConversion"/>
  </si>
  <si>
    <t>楔蛾</t>
  </si>
  <si>
    <t>楔蛾</t>
    <phoneticPr fontId="1" type="noConversion"/>
  </si>
  <si>
    <t>祖玛寺庙</t>
  </si>
  <si>
    <t>电僵尸超级怪</t>
    <phoneticPr fontId="1" type="noConversion"/>
  </si>
  <si>
    <t>跳跳蜂超级怪</t>
    <phoneticPr fontId="1" type="noConversion"/>
  </si>
  <si>
    <t>白野猪超级怪</t>
    <phoneticPr fontId="1" type="noConversion"/>
  </si>
  <si>
    <t>祖玛弓超级怪</t>
    <phoneticPr fontId="1" type="noConversion"/>
  </si>
  <si>
    <t>黑暗战士超级怪</t>
    <phoneticPr fontId="1" type="noConversion"/>
  </si>
  <si>
    <t>比奇矿区</t>
    <phoneticPr fontId="1" type="noConversion"/>
  </si>
  <si>
    <t>死亡峡谷</t>
    <phoneticPr fontId="1" type="noConversion"/>
  </si>
  <si>
    <t>祖玛寺庙</t>
    <phoneticPr fontId="1" type="noConversion"/>
  </si>
  <si>
    <t>沃玛寺庙</t>
    <phoneticPr fontId="1" type="noConversion"/>
  </si>
  <si>
    <t>爬塔1层BOSS</t>
    <phoneticPr fontId="1" type="noConversion"/>
  </si>
  <si>
    <t>爬塔2层BOSS</t>
    <phoneticPr fontId="1" type="noConversion"/>
  </si>
  <si>
    <t>爬塔3层BOSS</t>
  </si>
  <si>
    <t>爬塔4层BOSS</t>
  </si>
  <si>
    <t>爬塔5层BOSS</t>
  </si>
  <si>
    <t>爬塔6层BOSS</t>
  </si>
  <si>
    <t>爬塔7层BOSS</t>
  </si>
  <si>
    <t>爬塔8层BOSS</t>
  </si>
  <si>
    <t>爬塔9层BOSS</t>
  </si>
  <si>
    <t>爬塔</t>
    <phoneticPr fontId="1" type="noConversion"/>
  </si>
  <si>
    <t>尖刺鱼人</t>
  </si>
  <si>
    <t>双刀武士</t>
  </si>
  <si>
    <t>海妖战士</t>
  </si>
  <si>
    <t>海妖弓手</t>
  </si>
  <si>
    <t>海妖法师</t>
  </si>
  <si>
    <t>僵尸海盗</t>
  </si>
  <si>
    <t>僵尸剑客</t>
  </si>
  <si>
    <t>僵尸掷矛手</t>
  </si>
  <si>
    <t>毒魔</t>
  </si>
  <si>
    <t>独眼魔</t>
  </si>
  <si>
    <t>金甲鱼人</t>
  </si>
  <si>
    <t>鱼人死士</t>
  </si>
  <si>
    <t>独角鱼人</t>
  </si>
  <si>
    <t>巨海妖</t>
  </si>
  <si>
    <t>烈焰恶魔</t>
    <phoneticPr fontId="1" type="noConversion"/>
  </si>
  <si>
    <t>角蝇</t>
    <phoneticPr fontId="1" type="noConversion"/>
  </si>
  <si>
    <t>蝙蝠</t>
    <phoneticPr fontId="1" type="noConversion"/>
  </si>
  <si>
    <t>幻魔</t>
  </si>
  <si>
    <t>邪神士兵</t>
  </si>
  <si>
    <t>任务祖玛卫士</t>
    <phoneticPr fontId="1" type="noConversion"/>
  </si>
  <si>
    <t>祖玛寺庙</t>
    <phoneticPr fontId="1" type="noConversion"/>
  </si>
  <si>
    <t>镖车</t>
    <phoneticPr fontId="1" type="noConversion"/>
  </si>
  <si>
    <t>爬塔1层近小怪</t>
  </si>
  <si>
    <t>爬塔2层近小怪</t>
  </si>
  <si>
    <t>爬塔3层近小怪</t>
  </si>
  <si>
    <t>爬塔4层近小怪</t>
  </si>
  <si>
    <t>爬塔5层近小怪</t>
  </si>
  <si>
    <t>爬塔6层近小怪</t>
  </si>
  <si>
    <t>爬塔7层近小怪</t>
  </si>
  <si>
    <t>爬塔8层近小怪</t>
  </si>
  <si>
    <t>爬塔9层近小怪</t>
  </si>
  <si>
    <t>爬塔1层远小怪</t>
  </si>
  <si>
    <t>爬塔2层远小怪</t>
  </si>
  <si>
    <t>爬塔3层远小怪</t>
  </si>
  <si>
    <t>爬塔4层远小怪</t>
  </si>
  <si>
    <t>爬塔5层远小怪</t>
  </si>
  <si>
    <t>爬塔6层远小怪</t>
  </si>
  <si>
    <t>爬塔7层远小怪</t>
  </si>
  <si>
    <t>爬塔8层远小怪</t>
  </si>
  <si>
    <t>爬塔9层远小怪</t>
  </si>
  <si>
    <t>公会战</t>
    <phoneticPr fontId="1" type="noConversion"/>
  </si>
  <si>
    <t>小型建筑1级</t>
    <phoneticPr fontId="1" type="noConversion"/>
  </si>
  <si>
    <t>小型建筑2级</t>
    <phoneticPr fontId="1" type="noConversion"/>
  </si>
  <si>
    <t>小型建筑3级</t>
    <phoneticPr fontId="1" type="noConversion"/>
  </si>
  <si>
    <t>小型建筑4级</t>
    <phoneticPr fontId="1" type="noConversion"/>
  </si>
  <si>
    <t>小型建筑5级</t>
    <phoneticPr fontId="1" type="noConversion"/>
  </si>
  <si>
    <t>小型建筑6级</t>
    <phoneticPr fontId="1" type="noConversion"/>
  </si>
  <si>
    <t>中型建筑1级</t>
    <phoneticPr fontId="1" type="noConversion"/>
  </si>
  <si>
    <t>中型建筑2级</t>
    <phoneticPr fontId="1" type="noConversion"/>
  </si>
  <si>
    <t>中型建筑3级</t>
    <phoneticPr fontId="1" type="noConversion"/>
  </si>
  <si>
    <t>中型建筑4级</t>
    <phoneticPr fontId="1" type="noConversion"/>
  </si>
  <si>
    <t>中型建筑5级</t>
    <phoneticPr fontId="1" type="noConversion"/>
  </si>
  <si>
    <t>中型建筑6级</t>
    <phoneticPr fontId="1" type="noConversion"/>
  </si>
  <si>
    <t>大型建筑1级</t>
    <phoneticPr fontId="1" type="noConversion"/>
  </si>
  <si>
    <t>大型建筑2级</t>
    <phoneticPr fontId="1" type="noConversion"/>
  </si>
  <si>
    <t>大型建筑3级</t>
    <phoneticPr fontId="1" type="noConversion"/>
  </si>
  <si>
    <t>大型建筑4级</t>
    <phoneticPr fontId="1" type="noConversion"/>
  </si>
  <si>
    <t>大型建筑5级</t>
    <phoneticPr fontId="1" type="noConversion"/>
  </si>
  <si>
    <t>大型建筑6级</t>
    <phoneticPr fontId="1" type="noConversion"/>
  </si>
  <si>
    <t>幽冥海二</t>
  </si>
  <si>
    <t>幽冥海三</t>
  </si>
  <si>
    <t>幽冥海一</t>
  </si>
  <si>
    <t>幽冥海四</t>
  </si>
  <si>
    <t>公会属地</t>
    <phoneticPr fontId="1" type="noConversion"/>
  </si>
  <si>
    <t>劲弩塔1级</t>
  </si>
  <si>
    <t>劲弩塔2级</t>
  </si>
  <si>
    <t>劲弩塔3级</t>
  </si>
  <si>
    <t>劲弩塔4级</t>
  </si>
  <si>
    <t>劲弩塔5级</t>
  </si>
  <si>
    <t>劲弩塔6级</t>
  </si>
  <si>
    <t>天魔塔1级</t>
  </si>
  <si>
    <t>天魔塔2级</t>
  </si>
  <si>
    <t>天魔塔3级</t>
  </si>
  <si>
    <t>天魔塔4级</t>
  </si>
  <si>
    <t>天魔塔5级</t>
  </si>
  <si>
    <t>天魔塔6级</t>
  </si>
  <si>
    <t>天诛塔1级</t>
  </si>
  <si>
    <t>天诛塔2级</t>
  </si>
  <si>
    <t>天诛塔3级</t>
  </si>
  <si>
    <t>天诛塔4级</t>
  </si>
  <si>
    <t>天诛塔5级</t>
  </si>
  <si>
    <t>天诛塔6级</t>
  </si>
  <si>
    <t>玄魔塔1级</t>
  </si>
  <si>
    <t>玄魔塔2级</t>
  </si>
  <si>
    <t>玄魔塔3级</t>
  </si>
  <si>
    <t>玄魔塔4级</t>
  </si>
  <si>
    <t>玄魔塔5级</t>
  </si>
  <si>
    <t>玄魔塔6级</t>
  </si>
  <si>
    <t>轻羽塔1级</t>
  </si>
  <si>
    <t>轻羽塔2级</t>
  </si>
  <si>
    <t>轻羽塔3级</t>
  </si>
  <si>
    <t>轻羽塔4级</t>
  </si>
  <si>
    <t>轻羽塔5级</t>
  </si>
  <si>
    <t>轻羽塔6级</t>
  </si>
  <si>
    <t>锤盾僵尸</t>
    <phoneticPr fontId="1" type="noConversion"/>
  </si>
  <si>
    <t>一层任务精英</t>
    <phoneticPr fontId="1" type="noConversion"/>
  </si>
  <si>
    <t>幽冥海一</t>
    <phoneticPr fontId="1" type="noConversion"/>
  </si>
  <si>
    <t>鹰卫</t>
  </si>
  <si>
    <t>月魔蜘蛛</t>
  </si>
  <si>
    <t>天狼蜘蛛</t>
  </si>
  <si>
    <t>钢牙蜘蛛</t>
  </si>
  <si>
    <t>花吻蜘蛛</t>
  </si>
  <si>
    <t>黑锷蜘蛛</t>
  </si>
  <si>
    <t>幻影蜘蛛</t>
  </si>
  <si>
    <t>血巨人</t>
  </si>
  <si>
    <t>爆裂蜘蛛</t>
  </si>
  <si>
    <t>赤月峡谷</t>
    <phoneticPr fontId="1" type="noConversion"/>
  </si>
  <si>
    <t>血僵尸</t>
  </si>
  <si>
    <t>血僵尸</t>
    <phoneticPr fontId="1" type="noConversion"/>
  </si>
  <si>
    <t>猎魔蜘蛛超级怪</t>
    <phoneticPr fontId="1" type="noConversion"/>
  </si>
  <si>
    <t>赤月峡谷</t>
    <phoneticPr fontId="1" type="noConversion"/>
  </si>
  <si>
    <t>赤月峡谷</t>
    <phoneticPr fontId="1" type="noConversion"/>
  </si>
  <si>
    <t>双头金刚</t>
    <phoneticPr fontId="1" type="noConversion"/>
  </si>
  <si>
    <t>双头血魔</t>
    <phoneticPr fontId="1" type="noConversion"/>
  </si>
  <si>
    <t>赤月峡谷</t>
    <phoneticPr fontId="1" type="noConversion"/>
  </si>
  <si>
    <t>赤月恶魔</t>
    <phoneticPr fontId="1" type="noConversion"/>
  </si>
  <si>
    <t>赤血峡谷</t>
    <phoneticPr fontId="1" type="noConversion"/>
  </si>
  <si>
    <t>赤月峡谷</t>
    <phoneticPr fontId="1" type="noConversion"/>
  </si>
  <si>
    <t>暴牙蜘蛛</t>
    <phoneticPr fontId="1" type="noConversion"/>
  </si>
  <si>
    <t>暴牙蜘蛛</t>
    <phoneticPr fontId="1" type="noConversion"/>
  </si>
  <si>
    <t>钱多多</t>
    <phoneticPr fontId="1" type="noConversion"/>
  </si>
  <si>
    <t>富贵神殿</t>
    <phoneticPr fontId="1" type="noConversion"/>
  </si>
  <si>
    <t>1级公会BOSS</t>
    <phoneticPr fontId="1" type="noConversion"/>
  </si>
  <si>
    <t>2级公会BOSS</t>
    <phoneticPr fontId="1" type="noConversion"/>
  </si>
  <si>
    <t>3级公会BOSS</t>
    <phoneticPr fontId="1" type="noConversion"/>
  </si>
  <si>
    <t>4级公会BOSS</t>
    <phoneticPr fontId="1" type="noConversion"/>
  </si>
  <si>
    <t>5级公会BOSS</t>
    <phoneticPr fontId="1" type="noConversion"/>
  </si>
  <si>
    <t>6级公会BOSS</t>
    <phoneticPr fontId="1" type="noConversion"/>
  </si>
  <si>
    <t>7级公会BOSS</t>
    <phoneticPr fontId="1" type="noConversion"/>
  </si>
  <si>
    <t>高级恶灵</t>
    <phoneticPr fontId="1" type="noConversion"/>
  </si>
  <si>
    <t>低级恶灵</t>
    <phoneticPr fontId="1" type="noConversion"/>
  </si>
  <si>
    <t>幽冥海三四</t>
    <phoneticPr fontId="1" type="noConversion"/>
  </si>
  <si>
    <t>幽冥海一二</t>
    <phoneticPr fontId="1" type="noConversion"/>
  </si>
  <si>
    <t>双刀鱼人</t>
    <phoneticPr fontId="1" type="noConversion"/>
  </si>
  <si>
    <t>低级半兽人守护者</t>
    <phoneticPr fontId="1" type="noConversion"/>
  </si>
  <si>
    <t>中级半兽人守护者</t>
    <phoneticPr fontId="1" type="noConversion"/>
  </si>
  <si>
    <t>高级半兽人守护者</t>
    <phoneticPr fontId="1" type="noConversion"/>
  </si>
  <si>
    <t>藏宝图召唤</t>
    <phoneticPr fontId="1" type="noConversion"/>
  </si>
  <si>
    <t>世界活动BOSS</t>
    <phoneticPr fontId="1" type="noConversion"/>
  </si>
  <si>
    <t>世界活动</t>
    <phoneticPr fontId="1" type="noConversion"/>
  </si>
  <si>
    <t>圣甲虫</t>
    <phoneticPr fontId="1" type="noConversion"/>
  </si>
  <si>
    <t>小黄蜂</t>
    <phoneticPr fontId="1" type="noConversion"/>
  </si>
  <si>
    <t>黄蜂</t>
    <phoneticPr fontId="1" type="noConversion"/>
  </si>
  <si>
    <t>钻地虫</t>
    <phoneticPr fontId="1" type="noConversion"/>
  </si>
  <si>
    <t>黄蜂巢穴</t>
    <phoneticPr fontId="1" type="noConversion"/>
  </si>
  <si>
    <t>蛇蝎战士</t>
    <phoneticPr fontId="1" type="noConversion"/>
  </si>
  <si>
    <t>蛇蝎法师</t>
    <phoneticPr fontId="1" type="noConversion"/>
  </si>
  <si>
    <t>蛇蝎道士</t>
    <phoneticPr fontId="1" type="noConversion"/>
  </si>
  <si>
    <t>虫洞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</si>
</sst>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0" tint="-0.249977111117893"/>
      <name val="宋体"/>
      <family val="2"/>
      <charset val="134"/>
      <scheme val="minor"/>
    </font>
    <font>
      <sz val="11"/>
      <color theme="0" tint="-0.249977111117893"/>
      <name val="宋体"/>
      <family val="3"/>
      <charset val="134"/>
      <scheme val="minor"/>
    </font>
    <font>
      <sz val="11"/>
      <color theme="0" tint="-0.34998626667073579"/>
      <name val="宋体"/>
      <family val="2"/>
      <charset val="134"/>
      <scheme val="minor"/>
    </font>
    <font>
      <sz val="11"/>
      <color theme="0" tint="-0.34998626667073579"/>
      <name val="宋体"/>
      <family val="3"/>
      <charset val="134"/>
      <scheme val="minor"/>
    </font>
    <font>
      <sz val="11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rgb="FF92D050"/>
      <name val="宋体"/>
      <family val="2"/>
      <charset val="134"/>
      <scheme val="minor"/>
    </font>
    <font>
      <sz val="11"/>
      <color rgb="FF00B050"/>
      <name val="宋体"/>
      <family val="2"/>
      <charset val="134"/>
      <scheme val="minor"/>
    </font>
    <font>
      <sz val="11"/>
      <color rgb="FFFFC000"/>
      <name val="宋体"/>
      <family val="2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7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2" borderId="0" xfId="0" applyFill="1">
      <alignment vertical="center"/>
    </xf>
    <xf numFmtId="0" fontId="0" fillId="2" borderId="0" xfId="0" applyFill="1" applyBorder="1">
      <alignment vertical="center"/>
    </xf>
    <xf numFmtId="0" fontId="0" fillId="3" borderId="0" xfId="0" applyFill="1">
      <alignment vertical="center"/>
    </xf>
    <xf numFmtId="0" fontId="0" fillId="3" borderId="0" xfId="0" applyFill="1" applyBorder="1">
      <alignment vertical="center"/>
    </xf>
    <xf numFmtId="0" fontId="0" fillId="0" borderId="0" xfId="0" applyFill="1" applyBorder="1">
      <alignment vertical="center"/>
    </xf>
    <xf numFmtId="0" fontId="0" fillId="0" borderId="0" xfId="0" applyFill="1">
      <alignment vertical="center"/>
    </xf>
    <xf numFmtId="0" fontId="0" fillId="4" borderId="0" xfId="0" applyFill="1">
      <alignment vertical="center"/>
    </xf>
    <xf numFmtId="0" fontId="0" fillId="4" borderId="0" xfId="0" applyFill="1" applyBorder="1">
      <alignment vertical="center"/>
    </xf>
    <xf numFmtId="0" fontId="0" fillId="4" borderId="0" xfId="0" applyFill="1" applyBorder="1" applyAlignment="1">
      <alignment horizontal="left" vertical="center"/>
    </xf>
    <xf numFmtId="0" fontId="0" fillId="5" borderId="0" xfId="0" applyFill="1">
      <alignment vertical="center"/>
    </xf>
    <xf numFmtId="0" fontId="0" fillId="5" borderId="0" xfId="0" applyFill="1" applyBorder="1">
      <alignment vertical="center"/>
    </xf>
    <xf numFmtId="0" fontId="0" fillId="5" borderId="0" xfId="0" applyFill="1" applyBorder="1" applyAlignment="1">
      <alignment horizontal="left" vertical="center"/>
    </xf>
    <xf numFmtId="0" fontId="4" fillId="2" borderId="0" xfId="0" applyFont="1" applyFill="1" applyBorder="1">
      <alignment vertical="center"/>
    </xf>
    <xf numFmtId="0" fontId="5" fillId="2" borderId="0" xfId="0" applyFont="1" applyFill="1">
      <alignment vertical="center"/>
    </xf>
    <xf numFmtId="0" fontId="0" fillId="6" borderId="0" xfId="0" applyFill="1">
      <alignment vertical="center"/>
    </xf>
    <xf numFmtId="0" fontId="0" fillId="6" borderId="0" xfId="0" applyFill="1" applyBorder="1">
      <alignment vertical="center"/>
    </xf>
    <xf numFmtId="0" fontId="0" fillId="4" borderId="0" xfId="0" applyFill="1" applyBorder="1" applyAlignment="1">
      <alignment vertical="center"/>
    </xf>
    <xf numFmtId="0" fontId="0" fillId="5" borderId="0" xfId="0" applyFill="1" applyBorder="1" applyAlignment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0" fillId="7" borderId="0" xfId="0" applyFill="1">
      <alignment vertical="center"/>
    </xf>
    <xf numFmtId="0" fontId="0" fillId="7" borderId="0" xfId="0" applyFill="1" applyBorder="1">
      <alignment vertical="center"/>
    </xf>
    <xf numFmtId="0" fontId="0" fillId="7" borderId="0" xfId="0" applyFill="1" applyBorder="1" applyAlignment="1">
      <alignment horizontal="left" vertical="center"/>
    </xf>
    <xf numFmtId="0" fontId="0" fillId="7" borderId="0" xfId="0" applyFill="1" applyBorder="1" applyAlignment="1">
      <alignment vertical="center"/>
    </xf>
    <xf numFmtId="0" fontId="0" fillId="8" borderId="0" xfId="0" applyFill="1">
      <alignment vertical="center"/>
    </xf>
    <xf numFmtId="0" fontId="0" fillId="8" borderId="0" xfId="0" applyFill="1" applyBorder="1">
      <alignment vertical="center"/>
    </xf>
    <xf numFmtId="0" fontId="0" fillId="8" borderId="0" xfId="0" applyFill="1" applyBorder="1" applyAlignment="1">
      <alignment horizontal="left" vertical="center"/>
    </xf>
    <xf numFmtId="0" fontId="0" fillId="8" borderId="0" xfId="0" applyFill="1" applyBorder="1" applyAlignment="1">
      <alignment vertical="center"/>
    </xf>
    <xf numFmtId="0" fontId="0" fillId="9" borderId="0" xfId="0" applyFill="1">
      <alignment vertical="center"/>
    </xf>
    <xf numFmtId="0" fontId="0" fillId="9" borderId="0" xfId="0" applyFill="1" applyBorder="1">
      <alignment vertical="center"/>
    </xf>
    <xf numFmtId="0" fontId="0" fillId="9" borderId="0" xfId="0" applyFill="1" applyBorder="1" applyAlignment="1">
      <alignment horizontal="left" vertical="center"/>
    </xf>
    <xf numFmtId="0" fontId="0" fillId="9" borderId="0" xfId="0" applyFill="1" applyBorder="1" applyAlignment="1">
      <alignment vertical="center"/>
    </xf>
    <xf numFmtId="0" fontId="0" fillId="10" borderId="0" xfId="0" applyFill="1">
      <alignment vertical="center"/>
    </xf>
    <xf numFmtId="0" fontId="0" fillId="10" borderId="0" xfId="0" applyFill="1" applyBorder="1">
      <alignment vertical="center"/>
    </xf>
    <xf numFmtId="0" fontId="0" fillId="10" borderId="0" xfId="0" applyFill="1" applyBorder="1" applyAlignment="1">
      <alignment horizontal="left" vertical="center"/>
    </xf>
    <xf numFmtId="0" fontId="0" fillId="10" borderId="0" xfId="0" applyFill="1" applyBorder="1" applyAlignment="1">
      <alignment vertical="center"/>
    </xf>
    <xf numFmtId="0" fontId="0" fillId="11" borderId="0" xfId="0" applyFill="1">
      <alignment vertical="center"/>
    </xf>
    <xf numFmtId="0" fontId="0" fillId="11" borderId="0" xfId="0" applyFill="1" applyBorder="1">
      <alignment vertical="center"/>
    </xf>
    <xf numFmtId="0" fontId="0" fillId="11" borderId="0" xfId="0" applyFill="1" applyBorder="1" applyAlignment="1">
      <alignment horizontal="left" vertical="center"/>
    </xf>
    <xf numFmtId="0" fontId="0" fillId="11" borderId="0" xfId="0" applyFill="1" applyBorder="1" applyAlignment="1">
      <alignment vertical="center"/>
    </xf>
    <xf numFmtId="0" fontId="6" fillId="11" borderId="0" xfId="0" applyFont="1" applyFill="1">
      <alignment vertical="center"/>
    </xf>
    <xf numFmtId="0" fontId="8" fillId="11" borderId="0" xfId="0" applyFont="1" applyFill="1">
      <alignment vertical="center"/>
    </xf>
    <xf numFmtId="0" fontId="9" fillId="11" borderId="0" xfId="0" applyFont="1" applyFill="1">
      <alignment vertical="center"/>
    </xf>
    <xf numFmtId="0" fontId="7" fillId="11" borderId="0" xfId="0" applyFont="1" applyFill="1">
      <alignment vertical="center"/>
    </xf>
    <xf numFmtId="0" fontId="10" fillId="11" borderId="0" xfId="0" applyFont="1" applyFill="1">
      <alignment vertical="center"/>
    </xf>
    <xf numFmtId="0" fontId="0" fillId="12" borderId="0" xfId="0" applyFill="1" applyBorder="1">
      <alignment vertical="center"/>
    </xf>
    <xf numFmtId="0" fontId="0" fillId="12" borderId="0" xfId="0" applyFill="1">
      <alignment vertical="center"/>
    </xf>
    <xf numFmtId="0" fontId="0" fillId="13" borderId="0" xfId="0" applyFill="1">
      <alignment vertical="center"/>
    </xf>
    <xf numFmtId="0" fontId="0" fillId="13" borderId="0" xfId="0" applyFill="1" applyBorder="1">
      <alignment vertical="center"/>
    </xf>
    <xf numFmtId="0" fontId="0" fillId="13" borderId="0" xfId="0" applyFill="1" applyBorder="1" applyAlignment="1">
      <alignment horizontal="left" vertical="center"/>
    </xf>
    <xf numFmtId="0" fontId="0" fillId="13" borderId="0" xfId="0" applyFill="1" applyBorder="1" applyAlignment="1">
      <alignment vertical="center"/>
    </xf>
    <xf numFmtId="0" fontId="0" fillId="14" borderId="0" xfId="0" applyFill="1">
      <alignment vertical="center"/>
    </xf>
    <xf numFmtId="0" fontId="0" fillId="14" borderId="0" xfId="0" applyFill="1" applyBorder="1">
      <alignment vertical="center"/>
    </xf>
    <xf numFmtId="0" fontId="0" fillId="14" borderId="0" xfId="0" applyFill="1" applyBorder="1" applyAlignment="1">
      <alignment horizontal="left" vertical="center"/>
    </xf>
    <xf numFmtId="0" fontId="0" fillId="14" borderId="0" xfId="0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51"/>
  <sheetViews>
    <sheetView tabSelected="1" workbookViewId="0">
      <pane xSplit="7" ySplit="3" topLeftCell="P369" activePane="bottomRight" state="frozen"/>
      <selection pane="topRight" activeCell="H1" sqref="H1"/>
      <selection pane="bottomLeft" activeCell="A4" sqref="A4"/>
      <selection pane="bottomRight" activeCell="Q395" sqref="Q395"/>
    </sheetView>
  </sheetViews>
  <sheetFormatPr defaultColWidth="11.25" defaultRowHeight="13.5"/>
  <cols>
    <col min="1" max="1" width="29.625" customWidth="1"/>
    <col min="2" max="3" width="17.125" customWidth="1"/>
    <col min="4" max="4" width="10.5" bestFit="1" customWidth="1"/>
    <col min="5" max="6" width="10.5" customWidth="1"/>
    <col min="7" max="7" width="16.25" bestFit="1" customWidth="1"/>
    <col min="8" max="8" width="12.125" customWidth="1"/>
    <col min="9" max="10" width="9" customWidth="1"/>
    <col min="11" max="11" width="10.5" bestFit="1" customWidth="1"/>
    <col min="12" max="12" width="13.875" bestFit="1" customWidth="1"/>
    <col min="13" max="13" width="10.5" bestFit="1" customWidth="1"/>
    <col min="14" max="14" width="13.875" bestFit="1" customWidth="1"/>
    <col min="15" max="15" width="10.5" bestFit="1" customWidth="1"/>
    <col min="16" max="16" width="13.875" bestFit="1" customWidth="1"/>
    <col min="17" max="17" width="10.5" bestFit="1" customWidth="1"/>
    <col min="18" max="18" width="13.875" bestFit="1" customWidth="1"/>
    <col min="19" max="19" width="10.5" bestFit="1" customWidth="1"/>
    <col min="20" max="20" width="13.875" bestFit="1" customWidth="1"/>
    <col min="21" max="22" width="9.5" bestFit="1" customWidth="1"/>
    <col min="23" max="23" width="12.75" bestFit="1" customWidth="1"/>
    <col min="24" max="24" width="11.625" bestFit="1" customWidth="1"/>
    <col min="25" max="25" width="15" bestFit="1" customWidth="1"/>
    <col min="26" max="26" width="18.375" bestFit="1" customWidth="1"/>
    <col min="27" max="27" width="16.125" bestFit="1" customWidth="1"/>
    <col min="28" max="28" width="14.625" customWidth="1"/>
  </cols>
  <sheetData>
    <row r="1" spans="1:28">
      <c r="A1" t="s">
        <v>133</v>
      </c>
      <c r="B1" t="s">
        <v>134</v>
      </c>
      <c r="C1" t="s">
        <v>149</v>
      </c>
      <c r="D1" t="s">
        <v>101</v>
      </c>
      <c r="E1" t="s">
        <v>141</v>
      </c>
      <c r="F1" t="s">
        <v>142</v>
      </c>
      <c r="G1" t="s">
        <v>16</v>
      </c>
      <c r="H1" t="s">
        <v>79</v>
      </c>
      <c r="I1" t="s">
        <v>102</v>
      </c>
      <c r="J1" t="s">
        <v>103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  <c r="Y1" t="s">
        <v>63</v>
      </c>
      <c r="Z1" t="s">
        <v>64</v>
      </c>
      <c r="AA1" t="s">
        <v>65</v>
      </c>
      <c r="AB1" t="s">
        <v>162</v>
      </c>
    </row>
    <row r="2" spans="1:28">
      <c r="A2" t="s">
        <v>135</v>
      </c>
      <c r="B2" t="s">
        <v>135</v>
      </c>
      <c r="C2" t="s">
        <v>0</v>
      </c>
      <c r="D2" t="s">
        <v>17</v>
      </c>
      <c r="E2" t="s">
        <v>0</v>
      </c>
      <c r="F2" t="s">
        <v>0</v>
      </c>
      <c r="G2" t="s">
        <v>17</v>
      </c>
      <c r="H2" t="s">
        <v>78</v>
      </c>
      <c r="I2" t="s">
        <v>104</v>
      </c>
      <c r="J2" t="s">
        <v>104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</row>
    <row r="3" spans="1:28">
      <c r="A3" t="s">
        <v>135</v>
      </c>
      <c r="B3" t="s">
        <v>135</v>
      </c>
      <c r="G3" t="s">
        <v>18</v>
      </c>
      <c r="H3" t="s">
        <v>80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>
      <c r="A4" t="s">
        <v>136</v>
      </c>
      <c r="B4" t="s">
        <v>137</v>
      </c>
      <c r="C4">
        <v>11</v>
      </c>
      <c r="D4">
        <v>11</v>
      </c>
      <c r="E4" t="s">
        <v>143</v>
      </c>
      <c r="F4" t="s">
        <v>144</v>
      </c>
      <c r="G4" t="s">
        <v>19</v>
      </c>
      <c r="K4">
        <v>5</v>
      </c>
      <c r="L4">
        <v>15</v>
      </c>
      <c r="M4">
        <v>5</v>
      </c>
      <c r="N4">
        <v>15</v>
      </c>
      <c r="O4">
        <v>0</v>
      </c>
      <c r="P4">
        <v>0</v>
      </c>
      <c r="Q4">
        <v>3</v>
      </c>
      <c r="R4">
        <v>3</v>
      </c>
      <c r="S4">
        <v>1</v>
      </c>
      <c r="T4">
        <v>1</v>
      </c>
      <c r="U4">
        <v>50</v>
      </c>
      <c r="V4">
        <v>1</v>
      </c>
      <c r="W4">
        <v>10</v>
      </c>
      <c r="X4">
        <v>15</v>
      </c>
      <c r="Y4">
        <v>75</v>
      </c>
      <c r="Z4">
        <v>300</v>
      </c>
      <c r="AA4">
        <v>50</v>
      </c>
    </row>
    <row r="5" spans="1:28">
      <c r="A5" t="s">
        <v>138</v>
      </c>
      <c r="B5" t="s">
        <v>137</v>
      </c>
      <c r="C5">
        <v>1</v>
      </c>
      <c r="D5">
        <v>1</v>
      </c>
      <c r="E5" t="s">
        <v>145</v>
      </c>
      <c r="F5" t="s">
        <v>146</v>
      </c>
      <c r="G5" t="s">
        <v>20</v>
      </c>
      <c r="V5">
        <v>1</v>
      </c>
    </row>
    <row r="6" spans="1:28">
      <c r="A6" t="s">
        <v>139</v>
      </c>
      <c r="B6" t="s">
        <v>137</v>
      </c>
      <c r="C6">
        <v>100</v>
      </c>
      <c r="D6">
        <v>100</v>
      </c>
      <c r="G6" t="s">
        <v>21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9999</v>
      </c>
      <c r="V6">
        <v>1</v>
      </c>
      <c r="W6">
        <v>5</v>
      </c>
      <c r="X6">
        <v>5</v>
      </c>
      <c r="Y6">
        <v>75</v>
      </c>
      <c r="Z6">
        <v>300</v>
      </c>
      <c r="AA6">
        <v>50</v>
      </c>
    </row>
    <row r="7" spans="1:28">
      <c r="A7" t="s">
        <v>140</v>
      </c>
      <c r="B7" t="s">
        <v>137</v>
      </c>
      <c r="C7">
        <v>6</v>
      </c>
      <c r="D7">
        <v>6</v>
      </c>
      <c r="E7" t="s">
        <v>147</v>
      </c>
      <c r="F7" t="s">
        <v>148</v>
      </c>
      <c r="G7" t="s">
        <v>22</v>
      </c>
      <c r="K7">
        <v>2</v>
      </c>
      <c r="L7">
        <v>4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50</v>
      </c>
      <c r="V7">
        <v>1</v>
      </c>
      <c r="W7">
        <v>5</v>
      </c>
      <c r="X7">
        <v>10</v>
      </c>
      <c r="Y7">
        <v>75</v>
      </c>
      <c r="Z7">
        <v>300</v>
      </c>
      <c r="AA7">
        <v>50</v>
      </c>
    </row>
    <row r="8" spans="1:28" s="2" customFormat="1">
      <c r="A8" s="2" t="str">
        <f>"PhyType.NewNpcType_"&amp;D8</f>
        <v>PhyType.NewNpcType_101</v>
      </c>
      <c r="B8" s="2" t="s">
        <v>137</v>
      </c>
      <c r="C8" s="2">
        <v>101</v>
      </c>
      <c r="D8" s="2">
        <v>101</v>
      </c>
      <c r="G8" s="2" t="s">
        <v>23</v>
      </c>
      <c r="H8" s="2" t="s">
        <v>85</v>
      </c>
      <c r="I8" s="2">
        <v>9</v>
      </c>
      <c r="K8" s="2">
        <f>原始值!D8+VLOOKUP($H8,怪物强度修正!$A$2:$R$17,COLUMN(K8)-9,FALSE)</f>
        <v>1</v>
      </c>
      <c r="L8" s="2">
        <f>原始值!E8+VLOOKUP($H8,怪物强度修正!$A$2:$R$17,COLUMN(L8)-9,FALSE)</f>
        <v>2</v>
      </c>
      <c r="M8" s="2">
        <f>K8</f>
        <v>1</v>
      </c>
      <c r="N8" s="2">
        <f>L8</f>
        <v>2</v>
      </c>
      <c r="O8" s="2">
        <f>原始值!H8+VLOOKUP($H8,怪物强度修正!$A$2:$R$17,COLUMN(O8)-9,FALSE)</f>
        <v>0</v>
      </c>
      <c r="P8" s="2">
        <f>原始值!I8+VLOOKUP($H8,怪物强度修正!$A$2:$R$17,COLUMN(P8)-9,FALSE)</f>
        <v>0</v>
      </c>
      <c r="Q8" s="2">
        <f>原始值!J8+VLOOKUP($H8,怪物强度修正!$A$2:$R$17,COLUMN(Q8)-9,FALSE)</f>
        <v>0</v>
      </c>
      <c r="R8" s="2">
        <f>原始值!K8+VLOOKUP($H8,怪物强度修正!$A$2:$R$17,COLUMN(R8)-9,FALSE)</f>
        <v>0</v>
      </c>
      <c r="S8" s="2">
        <f>原始值!L8+VLOOKUP($H8,怪物强度修正!$A$2:$R$17,COLUMN(S8)-9,FALSE)</f>
        <v>0</v>
      </c>
      <c r="T8" s="2">
        <f>原始值!M8+VLOOKUP($H8,怪物强度修正!$A$2:$R$17,COLUMN(T8)-9,FALSE)</f>
        <v>0</v>
      </c>
      <c r="U8" s="2">
        <f>原始值!N8+VLOOKUP($H8,怪物强度修正!$A$2:$R$17,COLUMN(U8)-9,FALSE)</f>
        <v>15</v>
      </c>
      <c r="V8" s="2">
        <v>1</v>
      </c>
      <c r="W8" s="2">
        <f>原始值!P8+VLOOKUP($H8,怪物强度修正!$A$2:$R$17,COLUMN(W8)-9,FALSE)</f>
        <v>5</v>
      </c>
      <c r="X8" s="2">
        <f>原始值!Q8+VLOOKUP($H8,怪物强度修正!$A$2:$R$17,COLUMN(X8)-9,FALSE)</f>
        <v>7</v>
      </c>
      <c r="Y8" s="2">
        <f>原始值!R8+VLOOKUP($H8,怪物强度修正!$A$2:$R$17,COLUMN(Y8)-9,FALSE)</f>
        <v>75</v>
      </c>
      <c r="Z8" s="2">
        <f>原始值!S8+VLOOKUP($H8,怪物强度修正!$A$2:$R$17,COLUMN(Z8)-9,FALSE)</f>
        <v>300</v>
      </c>
      <c r="AA8" s="2">
        <f>原始值!T8+VLOOKUP($H8,怪物强度修正!$A$2:$R$17,COLUMN(AA8)-9,FALSE)</f>
        <v>50</v>
      </c>
    </row>
    <row r="9" spans="1:28" s="2" customFormat="1">
      <c r="A9" s="2" t="str">
        <f t="shared" ref="A9:A144" si="0">"PhyType.NewNpcType_"&amp;D9</f>
        <v>PhyType.NewNpcType_102</v>
      </c>
      <c r="B9" s="2" t="s">
        <v>137</v>
      </c>
      <c r="C9" s="2">
        <v>102</v>
      </c>
      <c r="D9" s="2">
        <v>102</v>
      </c>
      <c r="G9" s="2" t="s">
        <v>24</v>
      </c>
      <c r="H9" s="2" t="s">
        <v>85</v>
      </c>
      <c r="I9" s="2">
        <v>17</v>
      </c>
      <c r="K9" s="2">
        <f>原始值!D9+VLOOKUP($H9,怪物强度修正!$A$2:$R$17,COLUMN(K9)-9,FALSE)</f>
        <v>2</v>
      </c>
      <c r="L9" s="2">
        <f>原始值!E9+VLOOKUP($H9,怪物强度修正!$A$2:$R$17,COLUMN(L9)-9,FALSE)</f>
        <v>4</v>
      </c>
      <c r="M9" s="2">
        <f t="shared" ref="M9:M83" si="1">K9</f>
        <v>2</v>
      </c>
      <c r="N9" s="2">
        <f t="shared" ref="N9:N83" si="2">L9</f>
        <v>4</v>
      </c>
      <c r="O9" s="2">
        <f>原始值!H9+VLOOKUP($H9,怪物强度修正!$A$2:$R$17,COLUMN(O9)-9,FALSE)</f>
        <v>0</v>
      </c>
      <c r="P9" s="2">
        <f>原始值!I9+VLOOKUP($H9,怪物强度修正!$A$2:$R$17,COLUMN(P9)-9,FALSE)</f>
        <v>0</v>
      </c>
      <c r="Q9" s="2">
        <f>原始值!J9+VLOOKUP($H9,怪物强度修正!$A$2:$R$17,COLUMN(Q9)-9,FALSE)</f>
        <v>0</v>
      </c>
      <c r="R9" s="2">
        <f>原始值!K9+VLOOKUP($H9,怪物强度修正!$A$2:$R$17,COLUMN(R9)-9,FALSE)</f>
        <v>0</v>
      </c>
      <c r="S9" s="2">
        <f>原始值!L9+VLOOKUP($H9,怪物强度修正!$A$2:$R$17,COLUMN(S9)-9,FALSE)</f>
        <v>0</v>
      </c>
      <c r="T9" s="2">
        <f>原始值!M9+VLOOKUP($H9,怪物强度修正!$A$2:$R$17,COLUMN(T9)-9,FALSE)</f>
        <v>0</v>
      </c>
      <c r="U9" s="2">
        <f>原始值!N9+VLOOKUP($H9,怪物强度修正!$A$2:$R$17,COLUMN(U9)-9,FALSE)</f>
        <v>23</v>
      </c>
      <c r="V9" s="2">
        <v>1</v>
      </c>
      <c r="W9" s="2">
        <f>原始值!P9+VLOOKUP($H9,怪物强度修正!$A$2:$R$17,COLUMN(W9)-9,FALSE)</f>
        <v>5</v>
      </c>
      <c r="X9" s="2">
        <f>原始值!Q9+VLOOKUP($H9,怪物强度修正!$A$2:$R$17,COLUMN(X9)-9,FALSE)</f>
        <v>7</v>
      </c>
      <c r="Y9" s="2">
        <f>原始值!R9+VLOOKUP($H9,怪物强度修正!$A$2:$R$17,COLUMN(Y9)-9,FALSE)</f>
        <v>75</v>
      </c>
      <c r="Z9" s="2">
        <f>原始值!S9+VLOOKUP($H9,怪物强度修正!$A$2:$R$17,COLUMN(Z9)-9,FALSE)</f>
        <v>300</v>
      </c>
      <c r="AA9" s="2">
        <f>原始值!T9+VLOOKUP($H9,怪物强度修正!$A$2:$R$17,COLUMN(AA9)-9,FALSE)</f>
        <v>50</v>
      </c>
    </row>
    <row r="10" spans="1:28" s="2" customFormat="1">
      <c r="A10" s="2" t="str">
        <f t="shared" si="0"/>
        <v>PhyType.NewNpcType_103</v>
      </c>
      <c r="B10" s="2" t="s">
        <v>137</v>
      </c>
      <c r="C10" s="2">
        <v>103</v>
      </c>
      <c r="D10" s="2">
        <v>103</v>
      </c>
      <c r="G10" s="2" t="s">
        <v>117</v>
      </c>
      <c r="H10" s="2" t="s">
        <v>85</v>
      </c>
      <c r="I10" s="2">
        <v>24</v>
      </c>
      <c r="K10" s="2">
        <f>原始值!D10+VLOOKUP($H10,怪物强度修正!$A$2:$R$17,COLUMN(K10)-9,FALSE)</f>
        <v>3</v>
      </c>
      <c r="L10" s="2">
        <f>原始值!E10+VLOOKUP($H10,怪物强度修正!$A$2:$R$17,COLUMN(L10)-9,FALSE)</f>
        <v>7</v>
      </c>
      <c r="M10" s="2">
        <f t="shared" si="1"/>
        <v>3</v>
      </c>
      <c r="N10" s="2">
        <f t="shared" si="2"/>
        <v>7</v>
      </c>
      <c r="O10" s="2">
        <f>原始值!H10+VLOOKUP($H10,怪物强度修正!$A$2:$R$17,COLUMN(O10)-9,FALSE)</f>
        <v>0</v>
      </c>
      <c r="P10" s="2">
        <f>原始值!I10+VLOOKUP($H10,怪物强度修正!$A$2:$R$17,COLUMN(P10)-9,FALSE)</f>
        <v>0</v>
      </c>
      <c r="Q10" s="2">
        <f>原始值!J10+VLOOKUP($H10,怪物强度修正!$A$2:$R$17,COLUMN(Q10)-9,FALSE)</f>
        <v>1</v>
      </c>
      <c r="R10" s="2">
        <f>原始值!K10+VLOOKUP($H10,怪物强度修正!$A$2:$R$17,COLUMN(R10)-9,FALSE)</f>
        <v>1</v>
      </c>
      <c r="S10" s="2">
        <f>原始值!L10+VLOOKUP($H10,怪物强度修正!$A$2:$R$17,COLUMN(S10)-9,FALSE)</f>
        <v>0</v>
      </c>
      <c r="T10" s="2">
        <f>原始值!M10+VLOOKUP($H10,怪物强度修正!$A$2:$R$17,COLUMN(T10)-9,FALSE)</f>
        <v>0</v>
      </c>
      <c r="U10" s="2">
        <f>原始值!N10+VLOOKUP($H10,怪物强度修正!$A$2:$R$17,COLUMN(U10)-9,FALSE)</f>
        <v>30</v>
      </c>
      <c r="V10" s="2">
        <v>1</v>
      </c>
      <c r="W10" s="2">
        <f>原始值!P10+VLOOKUP($H10,怪物强度修正!$A$2:$R$17,COLUMN(W10)-9,FALSE)</f>
        <v>6</v>
      </c>
      <c r="X10" s="2">
        <f>原始值!Q10+VLOOKUP($H10,怪物强度修正!$A$2:$R$17,COLUMN(X10)-9,FALSE)</f>
        <v>8</v>
      </c>
      <c r="Y10" s="2">
        <f>原始值!R10+VLOOKUP($H10,怪物强度修正!$A$2:$R$17,COLUMN(Y10)-9,FALSE)</f>
        <v>75</v>
      </c>
      <c r="Z10" s="2">
        <f>原始值!S10+VLOOKUP($H10,怪物强度修正!$A$2:$R$17,COLUMN(Z10)-9,FALSE)</f>
        <v>300</v>
      </c>
      <c r="AA10" s="2">
        <f>原始值!T10+VLOOKUP($H10,怪物强度修正!$A$2:$R$17,COLUMN(AA10)-9,FALSE)</f>
        <v>50</v>
      </c>
    </row>
    <row r="11" spans="1:28" s="2" customFormat="1">
      <c r="A11" s="2" t="str">
        <f t="shared" si="0"/>
        <v>PhyType.NewNpcType_104</v>
      </c>
      <c r="B11" s="2" t="s">
        <v>137</v>
      </c>
      <c r="C11" s="2">
        <v>104</v>
      </c>
      <c r="D11" s="2">
        <v>104</v>
      </c>
      <c r="G11" s="2" t="s">
        <v>25</v>
      </c>
      <c r="H11" s="2" t="s">
        <v>88</v>
      </c>
      <c r="I11" s="2">
        <v>89</v>
      </c>
      <c r="K11" s="2">
        <f>原始值!D11+VLOOKUP($H11,怪物强度修正!$A$2:$R$17,COLUMN(K11)-9,FALSE)</f>
        <v>5</v>
      </c>
      <c r="L11" s="2">
        <f>原始值!E11+VLOOKUP($H11,怪物强度修正!$A$2:$R$17,COLUMN(L11)-9,FALSE)</f>
        <v>12</v>
      </c>
      <c r="M11" s="2">
        <f t="shared" si="1"/>
        <v>5</v>
      </c>
      <c r="N11" s="2">
        <f t="shared" si="2"/>
        <v>12</v>
      </c>
      <c r="O11" s="2">
        <f>原始值!H11+VLOOKUP($H11,怪物强度修正!$A$2:$R$17,COLUMN(O11)-9,FALSE)</f>
        <v>0</v>
      </c>
      <c r="P11" s="2">
        <f>原始值!I11+VLOOKUP($H11,怪物强度修正!$A$2:$R$17,COLUMN(P11)-9,FALSE)</f>
        <v>0</v>
      </c>
      <c r="Q11" s="2">
        <f>原始值!J11+VLOOKUP($H11,怪物强度修正!$A$2:$R$17,COLUMN(Q11)-9,FALSE)</f>
        <v>3</v>
      </c>
      <c r="R11" s="2">
        <f>原始值!K11+VLOOKUP($H11,怪物强度修正!$A$2:$R$17,COLUMN(R11)-9,FALSE)</f>
        <v>3</v>
      </c>
      <c r="S11" s="2">
        <f>原始值!L11+VLOOKUP($H11,怪物强度修正!$A$2:$R$17,COLUMN(S11)-9,FALSE)</f>
        <v>1</v>
      </c>
      <c r="T11" s="2">
        <f>原始值!M11+VLOOKUP($H11,怪物强度修正!$A$2:$R$17,COLUMN(T11)-9,FALSE)</f>
        <v>1</v>
      </c>
      <c r="U11" s="2">
        <f>原始值!N11+VLOOKUP($H11,怪物强度修正!$A$2:$R$17,COLUMN(U11)-9,FALSE)</f>
        <v>100</v>
      </c>
      <c r="V11" s="2">
        <v>1</v>
      </c>
      <c r="W11" s="2">
        <f>原始值!P11+VLOOKUP($H11,怪物强度修正!$A$2:$R$17,COLUMN(W11)-9,FALSE)</f>
        <v>10</v>
      </c>
      <c r="X11" s="2">
        <f>原始值!Q11+VLOOKUP($H11,怪物强度修正!$A$2:$R$17,COLUMN(X11)-9,FALSE)</f>
        <v>13</v>
      </c>
      <c r="Y11" s="2">
        <f>原始值!R11+VLOOKUP($H11,怪物强度修正!$A$2:$R$17,COLUMN(Y11)-9,FALSE)</f>
        <v>75</v>
      </c>
      <c r="Z11" s="2">
        <f>原始值!S11+VLOOKUP($H11,怪物强度修正!$A$2:$R$17,COLUMN(Z11)-9,FALSE)</f>
        <v>300</v>
      </c>
      <c r="AA11" s="2">
        <f>原始值!T11+VLOOKUP($H11,怪物强度修正!$A$2:$R$17,COLUMN(AA11)-9,FALSE)</f>
        <v>50</v>
      </c>
    </row>
    <row r="12" spans="1:28" s="2" customFormat="1">
      <c r="A12" s="2" t="str">
        <f t="shared" si="0"/>
        <v>PhyType.NewNpcType_1041</v>
      </c>
      <c r="B12" s="2" t="s">
        <v>137</v>
      </c>
      <c r="C12" s="2">
        <v>1041</v>
      </c>
      <c r="D12" s="2">
        <v>1041</v>
      </c>
      <c r="G12" s="2" t="s">
        <v>66</v>
      </c>
      <c r="H12" s="2" t="s">
        <v>85</v>
      </c>
      <c r="I12" s="2">
        <v>32</v>
      </c>
      <c r="K12" s="2">
        <f>原始值!D12+VLOOKUP($H12,怪物强度修正!$A$2:$R$17,COLUMN(K12)-9,FALSE)</f>
        <v>4</v>
      </c>
      <c r="L12" s="2">
        <f>原始值!E12+VLOOKUP($H12,怪物强度修正!$A$2:$R$17,COLUMN(L12)-9,FALSE)</f>
        <v>9</v>
      </c>
      <c r="M12" s="2">
        <f t="shared" si="1"/>
        <v>4</v>
      </c>
      <c r="N12" s="2">
        <f t="shared" si="2"/>
        <v>9</v>
      </c>
      <c r="O12" s="2">
        <f>原始值!H12+VLOOKUP($H12,怪物强度修正!$A$2:$R$17,COLUMN(O12)-9,FALSE)</f>
        <v>0</v>
      </c>
      <c r="P12" s="2">
        <f>原始值!I12+VLOOKUP($H12,怪物强度修正!$A$2:$R$17,COLUMN(P12)-9,FALSE)</f>
        <v>0</v>
      </c>
      <c r="Q12" s="2">
        <f>原始值!J12+VLOOKUP($H12,怪物强度修正!$A$2:$R$17,COLUMN(Q12)-9,FALSE)</f>
        <v>1</v>
      </c>
      <c r="R12" s="2">
        <f>原始值!K12+VLOOKUP($H12,怪物强度修正!$A$2:$R$17,COLUMN(R12)-9,FALSE)</f>
        <v>1</v>
      </c>
      <c r="S12" s="2">
        <f>原始值!L12+VLOOKUP($H12,怪物强度修正!$A$2:$R$17,COLUMN(S12)-9,FALSE)</f>
        <v>0</v>
      </c>
      <c r="T12" s="2">
        <f>原始值!M12+VLOOKUP($H12,怪物强度修正!$A$2:$R$17,COLUMN(T12)-9,FALSE)</f>
        <v>0</v>
      </c>
      <c r="U12" s="2">
        <f>原始值!N12+VLOOKUP($H12,怪物强度修正!$A$2:$R$17,COLUMN(U12)-9,FALSE)</f>
        <v>35</v>
      </c>
      <c r="V12" s="2">
        <v>1</v>
      </c>
      <c r="W12" s="2">
        <f>原始值!P12+VLOOKUP($H12,怪物强度修正!$A$2:$R$17,COLUMN(W12)-9,FALSE)</f>
        <v>10</v>
      </c>
      <c r="X12" s="2">
        <f>原始值!Q12+VLOOKUP($H12,怪物强度修正!$A$2:$R$17,COLUMN(X12)-9,FALSE)</f>
        <v>9</v>
      </c>
      <c r="Y12" s="2">
        <f>原始值!R12+VLOOKUP($H12,怪物强度修正!$A$2:$R$17,COLUMN(Y12)-9,FALSE)</f>
        <v>75</v>
      </c>
      <c r="Z12" s="2">
        <f>原始值!S12+VLOOKUP($H12,怪物强度修正!$A$2:$R$17,COLUMN(Z12)-9,FALSE)</f>
        <v>300</v>
      </c>
      <c r="AA12" s="2">
        <f>原始值!T12+VLOOKUP($H12,怪物强度修正!$A$2:$R$17,COLUMN(AA12)-9,FALSE)</f>
        <v>50</v>
      </c>
    </row>
    <row r="13" spans="1:28" s="2" customFormat="1">
      <c r="A13" s="2" t="str">
        <f t="shared" si="0"/>
        <v>PhyType.NewNpcType_1042</v>
      </c>
      <c r="B13" s="2" t="s">
        <v>137</v>
      </c>
      <c r="C13" s="2">
        <v>1042</v>
      </c>
      <c r="D13" s="2">
        <v>1042</v>
      </c>
      <c r="G13" s="2" t="s">
        <v>67</v>
      </c>
      <c r="H13" s="2" t="s">
        <v>87</v>
      </c>
      <c r="I13" s="2">
        <v>39</v>
      </c>
      <c r="K13" s="2">
        <f>原始值!D13+VLOOKUP($H13,怪物强度修正!$A$2:$R$17,COLUMN(K13)-9,FALSE)</f>
        <v>5</v>
      </c>
      <c r="L13" s="2">
        <f>原始值!E13+VLOOKUP($H13,怪物强度修正!$A$2:$R$17,COLUMN(L13)-9,FALSE)</f>
        <v>11</v>
      </c>
      <c r="M13" s="2">
        <f t="shared" si="1"/>
        <v>5</v>
      </c>
      <c r="N13" s="2">
        <f t="shared" si="2"/>
        <v>11</v>
      </c>
      <c r="O13" s="2">
        <f>原始值!H13+VLOOKUP($H13,怪物强度修正!$A$2:$R$17,COLUMN(O13)-9,FALSE)</f>
        <v>0</v>
      </c>
      <c r="P13" s="2">
        <f>原始值!I13+VLOOKUP($H13,怪物强度修正!$A$2:$R$17,COLUMN(P13)-9,FALSE)</f>
        <v>0</v>
      </c>
      <c r="Q13" s="2">
        <f>原始值!J13+VLOOKUP($H13,怪物强度修正!$A$2:$R$17,COLUMN(Q13)-9,FALSE)</f>
        <v>1</v>
      </c>
      <c r="R13" s="2">
        <f>原始值!K13+VLOOKUP($H13,怪物强度修正!$A$2:$R$17,COLUMN(R13)-9,FALSE)</f>
        <v>1</v>
      </c>
      <c r="S13" s="2">
        <f>原始值!L13+VLOOKUP($H13,怪物强度修正!$A$2:$R$17,COLUMN(S13)-9,FALSE)</f>
        <v>0</v>
      </c>
      <c r="T13" s="2">
        <f>原始值!M13+VLOOKUP($H13,怪物强度修正!$A$2:$R$17,COLUMN(T13)-9,FALSE)</f>
        <v>0</v>
      </c>
      <c r="U13" s="2">
        <f>原始值!N13+VLOOKUP($H13,怪物强度修正!$A$2:$R$17,COLUMN(U13)-9,FALSE)</f>
        <v>45</v>
      </c>
      <c r="V13" s="2">
        <v>1</v>
      </c>
      <c r="W13" s="2">
        <f>原始值!P13+VLOOKUP($H13,怪物强度修正!$A$2:$R$17,COLUMN(W13)-9,FALSE)</f>
        <v>10</v>
      </c>
      <c r="X13" s="2">
        <f>原始值!Q13+VLOOKUP($H13,怪物强度修正!$A$2:$R$17,COLUMN(X13)-9,FALSE)</f>
        <v>10</v>
      </c>
      <c r="Y13" s="2">
        <f>原始值!R13+VLOOKUP($H13,怪物强度修正!$A$2:$R$17,COLUMN(Y13)-9,FALSE)</f>
        <v>75</v>
      </c>
      <c r="Z13" s="2">
        <f>原始值!S13+VLOOKUP($H13,怪物强度修正!$A$2:$R$17,COLUMN(Z13)-9,FALSE)</f>
        <v>300</v>
      </c>
      <c r="AA13" s="2">
        <f>原始值!T13+VLOOKUP($H13,怪物强度修正!$A$2:$R$17,COLUMN(AA13)-9,FALSE)</f>
        <v>50</v>
      </c>
    </row>
    <row r="14" spans="1:28" s="2" customFormat="1">
      <c r="A14" s="2" t="str">
        <f t="shared" si="0"/>
        <v>PhyType.NewNpcType_105</v>
      </c>
      <c r="B14" s="2" t="s">
        <v>137</v>
      </c>
      <c r="C14" s="2">
        <v>105</v>
      </c>
      <c r="D14" s="2">
        <v>105</v>
      </c>
      <c r="G14" s="2" t="s">
        <v>68</v>
      </c>
      <c r="H14" s="2" t="s">
        <v>88</v>
      </c>
      <c r="I14" s="2">
        <v>299</v>
      </c>
      <c r="K14" s="2">
        <f>原始值!D14+VLOOKUP($H14,怪物强度修正!$A$2:$R$17,COLUMN(K14)-9,FALSE)</f>
        <v>15</v>
      </c>
      <c r="L14" s="2">
        <f>原始值!E14+VLOOKUP($H14,怪物强度修正!$A$2:$R$17,COLUMN(L14)-9,FALSE)</f>
        <v>32</v>
      </c>
      <c r="M14" s="2">
        <f t="shared" si="1"/>
        <v>15</v>
      </c>
      <c r="N14" s="2">
        <f t="shared" si="2"/>
        <v>32</v>
      </c>
      <c r="O14" s="2">
        <f>原始值!H14+VLOOKUP($H14,怪物强度修正!$A$2:$R$17,COLUMN(O14)-9,FALSE)</f>
        <v>0</v>
      </c>
      <c r="P14" s="2">
        <f>原始值!I14+VLOOKUP($H14,怪物强度修正!$A$2:$R$17,COLUMN(P14)-9,FALSE)</f>
        <v>0</v>
      </c>
      <c r="Q14" s="2">
        <f>原始值!J14+VLOOKUP($H14,怪物强度修正!$A$2:$R$17,COLUMN(Q14)-9,FALSE)</f>
        <v>0</v>
      </c>
      <c r="R14" s="2">
        <f>原始值!K14+VLOOKUP($H14,怪物强度修正!$A$2:$R$17,COLUMN(R14)-9,FALSE)</f>
        <v>0</v>
      </c>
      <c r="S14" s="2">
        <f>原始值!L14+VLOOKUP($H14,怪物强度修正!$A$2:$R$17,COLUMN(S14)-9,FALSE)</f>
        <v>0</v>
      </c>
      <c r="T14" s="2">
        <f>原始值!M14+VLOOKUP($H14,怪物强度修正!$A$2:$R$17,COLUMN(T14)-9,FALSE)</f>
        <v>0</v>
      </c>
      <c r="U14" s="2">
        <f>原始值!N14+VLOOKUP($H14,怪物强度修正!$A$2:$R$17,COLUMN(U14)-9,FALSE)</f>
        <v>300</v>
      </c>
      <c r="V14" s="2">
        <v>1</v>
      </c>
      <c r="W14" s="2">
        <f>原始值!P14+VLOOKUP($H14,怪物强度修正!$A$2:$R$17,COLUMN(W14)-9,FALSE)</f>
        <v>13</v>
      </c>
      <c r="X14" s="2">
        <f>原始值!Q14+VLOOKUP($H14,怪物强度修正!$A$2:$R$17,COLUMN(X14)-9,FALSE)</f>
        <v>13</v>
      </c>
      <c r="Y14" s="2">
        <f>原始值!R14+VLOOKUP($H14,怪物强度修正!$A$2:$R$17,COLUMN(Y14)-9,FALSE)</f>
        <v>75</v>
      </c>
      <c r="Z14" s="2">
        <f>原始值!S14+VLOOKUP($H14,怪物强度修正!$A$2:$R$17,COLUMN(Z14)-9,FALSE)</f>
        <v>300</v>
      </c>
      <c r="AA14" s="2">
        <f>原始值!T14+VLOOKUP($H14,怪物强度修正!$A$2:$R$17,COLUMN(AA14)-9,FALSE)</f>
        <v>50</v>
      </c>
    </row>
    <row r="15" spans="1:28" s="2" customFormat="1">
      <c r="A15" s="2" t="str">
        <f t="shared" si="0"/>
        <v>PhyType.NewNpcType_1051</v>
      </c>
      <c r="B15" s="2" t="s">
        <v>137</v>
      </c>
      <c r="C15" s="2">
        <v>1051</v>
      </c>
      <c r="D15" s="2">
        <v>1051</v>
      </c>
      <c r="G15" s="2" t="s">
        <v>69</v>
      </c>
      <c r="H15" s="2" t="s">
        <v>85</v>
      </c>
      <c r="I15" s="2">
        <v>59</v>
      </c>
      <c r="K15" s="2">
        <f>原始值!D15+VLOOKUP($H15,怪物强度修正!$A$2:$R$17,COLUMN(K15)-9,FALSE)</f>
        <v>6</v>
      </c>
      <c r="L15" s="2">
        <f>原始值!E15+VLOOKUP($H15,怪物强度修正!$A$2:$R$17,COLUMN(L15)-9,FALSE)</f>
        <v>13</v>
      </c>
      <c r="M15" s="2">
        <f t="shared" si="1"/>
        <v>6</v>
      </c>
      <c r="N15" s="2">
        <f t="shared" si="2"/>
        <v>13</v>
      </c>
      <c r="O15" s="2">
        <f>原始值!H15+VLOOKUP($H15,怪物强度修正!$A$2:$R$17,COLUMN(O15)-9,FALSE)</f>
        <v>0</v>
      </c>
      <c r="P15" s="2">
        <f>原始值!I15+VLOOKUP($H15,怪物强度修正!$A$2:$R$17,COLUMN(P15)-9,FALSE)</f>
        <v>0</v>
      </c>
      <c r="Q15" s="2">
        <f>原始值!J15+VLOOKUP($H15,怪物强度修正!$A$2:$R$17,COLUMN(Q15)-9,FALSE)</f>
        <v>2</v>
      </c>
      <c r="R15" s="2">
        <f>原始值!K15+VLOOKUP($H15,怪物强度修正!$A$2:$R$17,COLUMN(R15)-9,FALSE)</f>
        <v>2</v>
      </c>
      <c r="S15" s="2">
        <f>原始值!L15+VLOOKUP($H15,怪物强度修正!$A$2:$R$17,COLUMN(S15)-9,FALSE)</f>
        <v>1</v>
      </c>
      <c r="T15" s="2">
        <f>原始值!M15+VLOOKUP($H15,怪物强度修正!$A$2:$R$17,COLUMN(T15)-9,FALSE)</f>
        <v>1</v>
      </c>
      <c r="U15" s="2">
        <f>原始值!N15+VLOOKUP($H15,怪物强度修正!$A$2:$R$17,COLUMN(U15)-9,FALSE)</f>
        <v>65</v>
      </c>
      <c r="V15" s="2">
        <v>1</v>
      </c>
      <c r="W15" s="2">
        <f>原始值!P15+VLOOKUP($H15,怪物强度修正!$A$2:$R$17,COLUMN(W15)-9,FALSE)</f>
        <v>13</v>
      </c>
      <c r="X15" s="2">
        <f>原始值!Q15+VLOOKUP($H15,怪物强度修正!$A$2:$R$17,COLUMN(X15)-9,FALSE)</f>
        <v>10</v>
      </c>
      <c r="Y15" s="2">
        <f>原始值!R15+VLOOKUP($H15,怪物强度修正!$A$2:$R$17,COLUMN(Y15)-9,FALSE)</f>
        <v>75</v>
      </c>
      <c r="Z15" s="2">
        <f>原始值!S15+VLOOKUP($H15,怪物强度修正!$A$2:$R$17,COLUMN(Z15)-9,FALSE)</f>
        <v>300</v>
      </c>
      <c r="AA15" s="2">
        <f>原始值!T15+VLOOKUP($H15,怪物强度修正!$A$2:$R$17,COLUMN(AA15)-9,FALSE)</f>
        <v>50</v>
      </c>
    </row>
    <row r="16" spans="1:28" s="2" customFormat="1">
      <c r="A16" s="2" t="str">
        <f t="shared" si="0"/>
        <v>PhyType.NewNpcType_1052</v>
      </c>
      <c r="B16" s="2" t="s">
        <v>137</v>
      </c>
      <c r="C16" s="2">
        <v>1052</v>
      </c>
      <c r="D16" s="2">
        <v>1052</v>
      </c>
      <c r="G16" s="2" t="s">
        <v>70</v>
      </c>
      <c r="H16" s="2" t="s">
        <v>88</v>
      </c>
      <c r="I16" s="2">
        <v>59</v>
      </c>
      <c r="K16" s="2">
        <f>原始值!D16+VLOOKUP($H16,怪物强度修正!$A$2:$R$17,COLUMN(K16)-9,FALSE)</f>
        <v>6</v>
      </c>
      <c r="L16" s="2">
        <f>原始值!E16+VLOOKUP($H16,怪物强度修正!$A$2:$R$17,COLUMN(L16)-9,FALSE)</f>
        <v>13</v>
      </c>
      <c r="M16" s="2">
        <f t="shared" si="1"/>
        <v>6</v>
      </c>
      <c r="N16" s="2">
        <f t="shared" si="2"/>
        <v>13</v>
      </c>
      <c r="O16" s="2">
        <f>原始值!H16+VLOOKUP($H16,怪物强度修正!$A$2:$R$17,COLUMN(O16)-9,FALSE)</f>
        <v>0</v>
      </c>
      <c r="P16" s="2">
        <f>原始值!I16+VLOOKUP($H16,怪物强度修正!$A$2:$R$17,COLUMN(P16)-9,FALSE)</f>
        <v>0</v>
      </c>
      <c r="Q16" s="2">
        <f>原始值!J16+VLOOKUP($H16,怪物强度修正!$A$2:$R$17,COLUMN(Q16)-9,FALSE)</f>
        <v>2</v>
      </c>
      <c r="R16" s="2">
        <f>原始值!K16+VLOOKUP($H16,怪物强度修正!$A$2:$R$17,COLUMN(R16)-9,FALSE)</f>
        <v>2</v>
      </c>
      <c r="S16" s="2">
        <f>原始值!L16+VLOOKUP($H16,怪物强度修正!$A$2:$R$17,COLUMN(S16)-9,FALSE)</f>
        <v>1</v>
      </c>
      <c r="T16" s="2">
        <f>原始值!M16+VLOOKUP($H16,怪物强度修正!$A$2:$R$17,COLUMN(T16)-9,FALSE)</f>
        <v>1</v>
      </c>
      <c r="U16" s="2">
        <f>原始值!N16+VLOOKUP($H16,怪物强度修正!$A$2:$R$17,COLUMN(U16)-9,FALSE)</f>
        <v>65</v>
      </c>
      <c r="V16" s="2">
        <v>1</v>
      </c>
      <c r="W16" s="2">
        <f>原始值!P16+VLOOKUP($H16,怪物强度修正!$A$2:$R$17,COLUMN(W16)-9,FALSE)</f>
        <v>13</v>
      </c>
      <c r="X16" s="2">
        <f>原始值!Q16+VLOOKUP($H16,怪物强度修正!$A$2:$R$17,COLUMN(X16)-9,FALSE)</f>
        <v>11</v>
      </c>
      <c r="Y16" s="2">
        <f>原始值!R16+VLOOKUP($H16,怪物强度修正!$A$2:$R$17,COLUMN(Y16)-9,FALSE)</f>
        <v>75</v>
      </c>
      <c r="Z16" s="2">
        <f>原始值!S16+VLOOKUP($H16,怪物强度修正!$A$2:$R$17,COLUMN(Z16)-9,FALSE)</f>
        <v>300</v>
      </c>
      <c r="AA16" s="2">
        <f>原始值!T16+VLOOKUP($H16,怪物强度修正!$A$2:$R$17,COLUMN(AA16)-9,FALSE)</f>
        <v>50</v>
      </c>
    </row>
    <row r="17" spans="1:27" s="2" customFormat="1">
      <c r="A17" s="2" t="str">
        <f t="shared" si="0"/>
        <v>PhyType.NewNpcType_106</v>
      </c>
      <c r="B17" s="2" t="s">
        <v>137</v>
      </c>
      <c r="C17" s="2">
        <v>106</v>
      </c>
      <c r="D17" s="2">
        <v>106</v>
      </c>
      <c r="G17" s="2" t="s">
        <v>26</v>
      </c>
      <c r="H17" s="2" t="s">
        <v>85</v>
      </c>
      <c r="I17" s="2">
        <v>14</v>
      </c>
      <c r="K17" s="2">
        <f>原始值!D17+VLOOKUP($H17,怪物强度修正!$A$2:$R$17,COLUMN(K17)-9,FALSE)</f>
        <v>2</v>
      </c>
      <c r="L17" s="2">
        <f>原始值!E17+VLOOKUP($H17,怪物强度修正!$A$2:$R$17,COLUMN(L17)-9,FALSE)</f>
        <v>4</v>
      </c>
      <c r="M17" s="2">
        <f t="shared" si="1"/>
        <v>2</v>
      </c>
      <c r="N17" s="2">
        <f t="shared" si="2"/>
        <v>4</v>
      </c>
      <c r="O17" s="2">
        <f>原始值!H17+VLOOKUP($H17,怪物强度修正!$A$2:$R$17,COLUMN(O17)-9,FALSE)</f>
        <v>0</v>
      </c>
      <c r="P17" s="2">
        <f>原始值!I17+VLOOKUP($H17,怪物强度修正!$A$2:$R$17,COLUMN(P17)-9,FALSE)</f>
        <v>0</v>
      </c>
      <c r="Q17" s="2">
        <f>原始值!J17+VLOOKUP($H17,怪物强度修正!$A$2:$R$17,COLUMN(Q17)-9,FALSE)</f>
        <v>0</v>
      </c>
      <c r="R17" s="2">
        <f>原始值!K17+VLOOKUP($H17,怪物强度修正!$A$2:$R$17,COLUMN(R17)-9,FALSE)</f>
        <v>0</v>
      </c>
      <c r="S17" s="2">
        <f>原始值!L17+VLOOKUP($H17,怪物强度修正!$A$2:$R$17,COLUMN(S17)-9,FALSE)</f>
        <v>0</v>
      </c>
      <c r="T17" s="2">
        <f>原始值!M17+VLOOKUP($H17,怪物强度修正!$A$2:$R$17,COLUMN(T17)-9,FALSE)</f>
        <v>0</v>
      </c>
      <c r="U17" s="2">
        <f>原始值!N17+VLOOKUP($H17,怪物强度修正!$A$2:$R$17,COLUMN(U17)-9,FALSE)</f>
        <v>15</v>
      </c>
      <c r="V17" s="2">
        <v>1</v>
      </c>
      <c r="W17" s="2">
        <f>原始值!P17+VLOOKUP($H17,怪物强度修正!$A$2:$R$17,COLUMN(W17)-9,FALSE)</f>
        <v>12</v>
      </c>
      <c r="X17" s="2">
        <f>原始值!Q17+VLOOKUP($H17,怪物强度修正!$A$2:$R$17,COLUMN(X17)-9,FALSE)</f>
        <v>1</v>
      </c>
      <c r="Y17" s="2">
        <f>原始值!R17+VLOOKUP($H17,怪物强度修正!$A$2:$R$17,COLUMN(Y17)-9,FALSE)</f>
        <v>75</v>
      </c>
      <c r="Z17" s="2">
        <f>原始值!S17+VLOOKUP($H17,怪物强度修正!$A$2:$R$17,COLUMN(Z17)-9,FALSE)</f>
        <v>300</v>
      </c>
      <c r="AA17" s="2">
        <f>原始值!T17+VLOOKUP($H17,怪物强度修正!$A$2:$R$17,COLUMN(AA17)-9,FALSE)</f>
        <v>50</v>
      </c>
    </row>
    <row r="18" spans="1:27" s="2" customFormat="1">
      <c r="A18" s="2" t="str">
        <f t="shared" si="0"/>
        <v>PhyType.NewNpcType_107</v>
      </c>
      <c r="B18" s="2" t="s">
        <v>137</v>
      </c>
      <c r="C18" s="2">
        <v>107</v>
      </c>
      <c r="D18" s="2">
        <v>107</v>
      </c>
      <c r="G18" s="2" t="s">
        <v>27</v>
      </c>
      <c r="H18" s="2" t="s">
        <v>89</v>
      </c>
      <c r="I18" s="2">
        <v>139</v>
      </c>
      <c r="K18" s="2">
        <f>原始值!D18+VLOOKUP($H18,怪物强度修正!$A$2:$R$17,COLUMN(K18)-9,FALSE)</f>
        <v>5</v>
      </c>
      <c r="L18" s="2">
        <f>原始值!E18+VLOOKUP($H18,怪物强度修正!$A$2:$R$17,COLUMN(L18)-9,FALSE)</f>
        <v>12</v>
      </c>
      <c r="M18" s="2">
        <f t="shared" si="1"/>
        <v>5</v>
      </c>
      <c r="N18" s="2">
        <f t="shared" si="2"/>
        <v>12</v>
      </c>
      <c r="O18" s="2">
        <f>原始值!H18+VLOOKUP($H18,怪物强度修正!$A$2:$R$17,COLUMN(O18)-9,FALSE)</f>
        <v>0</v>
      </c>
      <c r="P18" s="2">
        <f>原始值!I18+VLOOKUP($H18,怪物强度修正!$A$2:$R$17,COLUMN(P18)-9,FALSE)</f>
        <v>0</v>
      </c>
      <c r="Q18" s="2">
        <f>原始值!J18+VLOOKUP($H18,怪物强度修正!$A$2:$R$17,COLUMN(Q18)-9,FALSE)</f>
        <v>2</v>
      </c>
      <c r="R18" s="2">
        <f>原始值!K18+VLOOKUP($H18,怪物强度修正!$A$2:$R$17,COLUMN(R18)-9,FALSE)</f>
        <v>2</v>
      </c>
      <c r="S18" s="2">
        <f>原始值!L18+VLOOKUP($H18,怪物强度修正!$A$2:$R$17,COLUMN(S18)-9,FALSE)</f>
        <v>1</v>
      </c>
      <c r="T18" s="2">
        <f>原始值!M18+VLOOKUP($H18,怪物强度修正!$A$2:$R$17,COLUMN(T18)-9,FALSE)</f>
        <v>1</v>
      </c>
      <c r="U18" s="2">
        <f>原始值!N18+VLOOKUP($H18,怪物强度修正!$A$2:$R$17,COLUMN(U18)-9,FALSE)</f>
        <v>155</v>
      </c>
      <c r="V18" s="2">
        <v>1</v>
      </c>
      <c r="W18" s="2">
        <f>原始值!P18+VLOOKUP($H18,怪物强度修正!$A$2:$R$17,COLUMN(W18)-9,FALSE)</f>
        <v>12</v>
      </c>
      <c r="X18" s="2">
        <f>原始值!Q18+VLOOKUP($H18,怪物强度修正!$A$2:$R$17,COLUMN(X18)-9,FALSE)</f>
        <v>15</v>
      </c>
      <c r="Y18" s="2">
        <f>原始值!R18+VLOOKUP($H18,怪物强度修正!$A$2:$R$17,COLUMN(Y18)-9,FALSE)</f>
        <v>75</v>
      </c>
      <c r="Z18" s="2">
        <f>原始值!S18+VLOOKUP($H18,怪物强度修正!$A$2:$R$17,COLUMN(Z18)-9,FALSE)</f>
        <v>300</v>
      </c>
      <c r="AA18" s="2">
        <f>原始值!T18+VLOOKUP($H18,怪物强度修正!$A$2:$R$17,COLUMN(AA18)-9,FALSE)</f>
        <v>50</v>
      </c>
    </row>
    <row r="19" spans="1:27" s="2" customFormat="1">
      <c r="A19" s="2" t="str">
        <f t="shared" si="0"/>
        <v>PhyType.NewNpcType_108</v>
      </c>
      <c r="B19" s="2" t="s">
        <v>137</v>
      </c>
      <c r="C19" s="2">
        <v>108</v>
      </c>
      <c r="D19" s="2">
        <v>108</v>
      </c>
      <c r="G19" s="2" t="s">
        <v>110</v>
      </c>
      <c r="H19" s="2" t="s">
        <v>89</v>
      </c>
      <c r="I19" s="2">
        <v>149</v>
      </c>
      <c r="K19" s="2">
        <f>原始值!D19+VLOOKUP($H19,怪物强度修正!$A$2:$R$17,COLUMN(K19)-9,FALSE)</f>
        <v>5</v>
      </c>
      <c r="L19" s="2">
        <f>原始值!E19+VLOOKUP($H19,怪物强度修正!$A$2:$R$17,COLUMN(L19)-9,FALSE)</f>
        <v>15</v>
      </c>
      <c r="M19" s="2">
        <f t="shared" si="1"/>
        <v>5</v>
      </c>
      <c r="N19" s="2">
        <f t="shared" si="2"/>
        <v>15</v>
      </c>
      <c r="O19" s="2">
        <f>原始值!H19+VLOOKUP($H19,怪物强度修正!$A$2:$R$17,COLUMN(O19)-9,FALSE)</f>
        <v>0</v>
      </c>
      <c r="P19" s="2">
        <f>原始值!I19+VLOOKUP($H19,怪物强度修正!$A$2:$R$17,COLUMN(P19)-9,FALSE)</f>
        <v>0</v>
      </c>
      <c r="Q19" s="2">
        <f>原始值!J19+VLOOKUP($H19,怪物强度修正!$A$2:$R$17,COLUMN(Q19)-9,FALSE)</f>
        <v>2</v>
      </c>
      <c r="R19" s="2">
        <f>原始值!K19+VLOOKUP($H19,怪物强度修正!$A$2:$R$17,COLUMN(R19)-9,FALSE)</f>
        <v>2</v>
      </c>
      <c r="S19" s="2">
        <f>原始值!L19+VLOOKUP($H19,怪物强度修正!$A$2:$R$17,COLUMN(S19)-9,FALSE)</f>
        <v>1</v>
      </c>
      <c r="T19" s="2">
        <f>原始值!M19+VLOOKUP($H19,怪物强度修正!$A$2:$R$17,COLUMN(T19)-9,FALSE)</f>
        <v>1</v>
      </c>
      <c r="U19" s="2">
        <f>原始值!N19+VLOOKUP($H19,怪物强度修正!$A$2:$R$17,COLUMN(U19)-9,FALSE)</f>
        <v>155</v>
      </c>
      <c r="V19" s="2">
        <v>1</v>
      </c>
      <c r="W19" s="2">
        <f>原始值!P19+VLOOKUP($H19,怪物强度修正!$A$2:$R$17,COLUMN(W19)-9,FALSE)</f>
        <v>12</v>
      </c>
      <c r="X19" s="2">
        <f>原始值!Q19+VLOOKUP($H19,怪物强度修正!$A$2:$R$17,COLUMN(X19)-9,FALSE)</f>
        <v>15</v>
      </c>
      <c r="Y19" s="2">
        <f>原始值!R19+VLOOKUP($H19,怪物强度修正!$A$2:$R$17,COLUMN(Y19)-9,FALSE)</f>
        <v>75</v>
      </c>
      <c r="Z19" s="2">
        <f>原始值!S19+VLOOKUP($H19,怪物强度修正!$A$2:$R$17,COLUMN(Z19)-9,FALSE)</f>
        <v>300</v>
      </c>
      <c r="AA19" s="2">
        <f>原始值!T19+VLOOKUP($H19,怪物强度修正!$A$2:$R$17,COLUMN(AA19)-9,FALSE)</f>
        <v>50</v>
      </c>
    </row>
    <row r="20" spans="1:27" s="2" customFormat="1">
      <c r="A20" s="2" t="str">
        <f t="shared" si="0"/>
        <v>PhyType.NewNpcType_109</v>
      </c>
      <c r="B20" s="2" t="s">
        <v>137</v>
      </c>
      <c r="C20" s="2">
        <v>109</v>
      </c>
      <c r="D20" s="2">
        <v>109</v>
      </c>
      <c r="G20" s="2" t="s">
        <v>28</v>
      </c>
      <c r="H20" s="2" t="s">
        <v>89</v>
      </c>
      <c r="I20" s="2">
        <v>159</v>
      </c>
      <c r="K20" s="2">
        <f>原始值!D20+VLOOKUP($H20,怪物强度修正!$A$2:$R$17,COLUMN(K20)-9,FALSE)</f>
        <v>8</v>
      </c>
      <c r="L20" s="2">
        <f>原始值!E20+VLOOKUP($H20,怪物强度修正!$A$2:$R$17,COLUMN(L20)-9,FALSE)</f>
        <v>15</v>
      </c>
      <c r="M20" s="2">
        <f t="shared" si="1"/>
        <v>8</v>
      </c>
      <c r="N20" s="2">
        <f t="shared" si="2"/>
        <v>15</v>
      </c>
      <c r="O20" s="2">
        <f>原始值!H20+VLOOKUP($H20,怪物强度修正!$A$2:$R$17,COLUMN(O20)-9,FALSE)</f>
        <v>0</v>
      </c>
      <c r="P20" s="2">
        <f>原始值!I20+VLOOKUP($H20,怪物强度修正!$A$2:$R$17,COLUMN(P20)-9,FALSE)</f>
        <v>0</v>
      </c>
      <c r="Q20" s="2">
        <f>原始值!J20+VLOOKUP($H20,怪物强度修正!$A$2:$R$17,COLUMN(Q20)-9,FALSE)</f>
        <v>2</v>
      </c>
      <c r="R20" s="2">
        <f>原始值!K20+VLOOKUP($H20,怪物强度修正!$A$2:$R$17,COLUMN(R20)-9,FALSE)</f>
        <v>2</v>
      </c>
      <c r="S20" s="2">
        <f>原始值!L20+VLOOKUP($H20,怪物强度修正!$A$2:$R$17,COLUMN(S20)-9,FALSE)</f>
        <v>1</v>
      </c>
      <c r="T20" s="2">
        <f>原始值!M20+VLOOKUP($H20,怪物强度修正!$A$2:$R$17,COLUMN(T20)-9,FALSE)</f>
        <v>1</v>
      </c>
      <c r="U20" s="2">
        <f>原始值!N20+VLOOKUP($H20,怪物强度修正!$A$2:$R$17,COLUMN(U20)-9,FALSE)</f>
        <v>155</v>
      </c>
      <c r="V20" s="2">
        <v>1</v>
      </c>
      <c r="W20" s="2">
        <f>原始值!P20+VLOOKUP($H20,怪物强度修正!$A$2:$R$17,COLUMN(W20)-9,FALSE)</f>
        <v>12</v>
      </c>
      <c r="X20" s="2">
        <f>原始值!Q20+VLOOKUP($H20,怪物强度修正!$A$2:$R$17,COLUMN(X20)-9,FALSE)</f>
        <v>15</v>
      </c>
      <c r="Y20" s="2">
        <f>原始值!R20+VLOOKUP($H20,怪物强度修正!$A$2:$R$17,COLUMN(Y20)-9,FALSE)</f>
        <v>75</v>
      </c>
      <c r="Z20" s="2">
        <f>原始值!S20+VLOOKUP($H20,怪物强度修正!$A$2:$R$17,COLUMN(Z20)-9,FALSE)</f>
        <v>300</v>
      </c>
      <c r="AA20" s="2">
        <f>原始值!T20+VLOOKUP($H20,怪物强度修正!$A$2:$R$17,COLUMN(AA20)-9,FALSE)</f>
        <v>50</v>
      </c>
    </row>
    <row r="21" spans="1:27" s="2" customFormat="1">
      <c r="A21" s="2" t="str">
        <f t="shared" si="0"/>
        <v>PhyType.NewNpcType_110</v>
      </c>
      <c r="B21" s="2" t="s">
        <v>137</v>
      </c>
      <c r="C21" s="2">
        <v>110</v>
      </c>
      <c r="D21" s="2">
        <v>110</v>
      </c>
      <c r="G21" s="2" t="s">
        <v>29</v>
      </c>
      <c r="H21" s="2" t="s">
        <v>89</v>
      </c>
      <c r="I21" s="2">
        <v>169</v>
      </c>
      <c r="K21" s="2">
        <f>原始值!D21+VLOOKUP($H21,怪物强度修正!$A$2:$R$17,COLUMN(K21)-9,FALSE)</f>
        <v>8</v>
      </c>
      <c r="L21" s="2">
        <f>原始值!E21+VLOOKUP($H21,怪物强度修正!$A$2:$R$17,COLUMN(L21)-9,FALSE)</f>
        <v>17</v>
      </c>
      <c r="M21" s="2">
        <f t="shared" si="1"/>
        <v>8</v>
      </c>
      <c r="N21" s="2">
        <f t="shared" si="2"/>
        <v>17</v>
      </c>
      <c r="O21" s="2">
        <f>原始值!H21+VLOOKUP($H21,怪物强度修正!$A$2:$R$17,COLUMN(O21)-9,FALSE)</f>
        <v>0</v>
      </c>
      <c r="P21" s="2">
        <f>原始值!I21+VLOOKUP($H21,怪物强度修正!$A$2:$R$17,COLUMN(P21)-9,FALSE)</f>
        <v>0</v>
      </c>
      <c r="Q21" s="2">
        <f>原始值!J21+VLOOKUP($H21,怪物强度修正!$A$2:$R$17,COLUMN(Q21)-9,FALSE)</f>
        <v>2</v>
      </c>
      <c r="R21" s="2">
        <f>原始值!K21+VLOOKUP($H21,怪物强度修正!$A$2:$R$17,COLUMN(R21)-9,FALSE)</f>
        <v>2</v>
      </c>
      <c r="S21" s="2">
        <f>原始值!L21+VLOOKUP($H21,怪物强度修正!$A$2:$R$17,COLUMN(S21)-9,FALSE)</f>
        <v>2</v>
      </c>
      <c r="T21" s="2">
        <f>原始值!M21+VLOOKUP($H21,怪物强度修正!$A$2:$R$17,COLUMN(T21)-9,FALSE)</f>
        <v>2</v>
      </c>
      <c r="U21" s="2">
        <f>原始值!N21+VLOOKUP($H21,怪物强度修正!$A$2:$R$17,COLUMN(U21)-9,FALSE)</f>
        <v>155</v>
      </c>
      <c r="V21" s="2">
        <v>1</v>
      </c>
      <c r="W21" s="2">
        <f>原始值!P21+VLOOKUP($H21,怪物强度修正!$A$2:$R$17,COLUMN(W21)-9,FALSE)</f>
        <v>12</v>
      </c>
      <c r="X21" s="2">
        <f>原始值!Q21+VLOOKUP($H21,怪物强度修正!$A$2:$R$17,COLUMN(X21)-9,FALSE)</f>
        <v>15</v>
      </c>
      <c r="Y21" s="2">
        <f>原始值!R21+VLOOKUP($H21,怪物强度修正!$A$2:$R$17,COLUMN(Y21)-9,FALSE)</f>
        <v>75</v>
      </c>
      <c r="Z21" s="2">
        <f>原始值!S21+VLOOKUP($H21,怪物强度修正!$A$2:$R$17,COLUMN(Z21)-9,FALSE)</f>
        <v>300</v>
      </c>
      <c r="AA21" s="2">
        <f>原始值!T21+VLOOKUP($H21,怪物强度修正!$A$2:$R$17,COLUMN(AA21)-9,FALSE)</f>
        <v>50</v>
      </c>
    </row>
    <row r="22" spans="1:27" s="2" customFormat="1">
      <c r="A22" s="2" t="str">
        <f t="shared" si="0"/>
        <v>PhyType.NewNpcType_111</v>
      </c>
      <c r="B22" s="2" t="s">
        <v>137</v>
      </c>
      <c r="C22" s="2">
        <v>111</v>
      </c>
      <c r="D22" s="2">
        <v>111</v>
      </c>
      <c r="G22" s="2" t="s">
        <v>30</v>
      </c>
      <c r="H22" s="2" t="s">
        <v>89</v>
      </c>
      <c r="I22" s="2">
        <v>24</v>
      </c>
      <c r="K22" s="2">
        <f>原始值!D22+VLOOKUP($H22,怪物强度修正!$A$2:$R$17,COLUMN(K22)-9,FALSE)</f>
        <v>4</v>
      </c>
      <c r="L22" s="2">
        <f>原始值!E22+VLOOKUP($H22,怪物强度修正!$A$2:$R$17,COLUMN(L22)-9,FALSE)</f>
        <v>6</v>
      </c>
      <c r="M22" s="2">
        <f t="shared" si="1"/>
        <v>4</v>
      </c>
      <c r="N22" s="2">
        <f t="shared" si="2"/>
        <v>6</v>
      </c>
      <c r="O22" s="2">
        <f>原始值!H22+VLOOKUP($H22,怪物强度修正!$A$2:$R$17,COLUMN(O22)-9,FALSE)</f>
        <v>0</v>
      </c>
      <c r="P22" s="2">
        <f>原始值!I22+VLOOKUP($H22,怪物强度修正!$A$2:$R$17,COLUMN(P22)-9,FALSE)</f>
        <v>0</v>
      </c>
      <c r="Q22" s="2">
        <f>原始值!J22+VLOOKUP($H22,怪物强度修正!$A$2:$R$17,COLUMN(Q22)-9,FALSE)</f>
        <v>2</v>
      </c>
      <c r="R22" s="2">
        <f>原始值!K22+VLOOKUP($H22,怪物强度修正!$A$2:$R$17,COLUMN(R22)-9,FALSE)</f>
        <v>2</v>
      </c>
      <c r="S22" s="2">
        <f>原始值!L22+VLOOKUP($H22,怪物强度修正!$A$2:$R$17,COLUMN(S22)-9,FALSE)</f>
        <v>0</v>
      </c>
      <c r="T22" s="2">
        <f>原始值!M22+VLOOKUP($H22,怪物强度修正!$A$2:$R$17,COLUMN(T22)-9,FALSE)</f>
        <v>0</v>
      </c>
      <c r="U22" s="2">
        <f>原始值!N22+VLOOKUP($H22,怪物强度修正!$A$2:$R$17,COLUMN(U22)-9,FALSE)</f>
        <v>25</v>
      </c>
      <c r="V22" s="2">
        <v>1</v>
      </c>
      <c r="W22" s="2">
        <f>原始值!P22+VLOOKUP($H22,怪物强度修正!$A$2:$R$17,COLUMN(W22)-9,FALSE)</f>
        <v>11</v>
      </c>
      <c r="X22" s="2">
        <f>原始值!Q22+VLOOKUP($H22,怪物强度修正!$A$2:$R$17,COLUMN(X22)-9,FALSE)</f>
        <v>25</v>
      </c>
      <c r="Y22" s="2">
        <f>原始值!R22+VLOOKUP($H22,怪物强度修正!$A$2:$R$17,COLUMN(Y22)-9,FALSE)</f>
        <v>75</v>
      </c>
      <c r="Z22" s="2">
        <f>原始值!S22+VLOOKUP($H22,怪物强度修正!$A$2:$R$17,COLUMN(Z22)-9,FALSE)</f>
        <v>300</v>
      </c>
      <c r="AA22" s="2">
        <f>原始值!T22+VLOOKUP($H22,怪物强度修正!$A$2:$R$17,COLUMN(AA22)-9,FALSE)</f>
        <v>50</v>
      </c>
    </row>
    <row r="23" spans="1:27" s="2" customFormat="1">
      <c r="A23" s="2" t="str">
        <f t="shared" si="0"/>
        <v>PhyType.NewNpcType_112</v>
      </c>
      <c r="B23" s="2" t="s">
        <v>137</v>
      </c>
      <c r="C23" s="2">
        <v>112</v>
      </c>
      <c r="D23" s="2">
        <v>112</v>
      </c>
      <c r="G23" s="2" t="s">
        <v>31</v>
      </c>
      <c r="H23" s="2" t="s">
        <v>91</v>
      </c>
      <c r="I23" s="2">
        <v>199</v>
      </c>
      <c r="K23" s="2">
        <f>原始值!D23+VLOOKUP($H23,怪物强度修正!$A$2:$R$17,COLUMN(K23)-9,FALSE)</f>
        <v>7</v>
      </c>
      <c r="L23" s="2">
        <f>原始值!E23+VLOOKUP($H23,怪物强度修正!$A$2:$R$17,COLUMN(L23)-9,FALSE)</f>
        <v>14</v>
      </c>
      <c r="M23" s="2">
        <f t="shared" si="1"/>
        <v>7</v>
      </c>
      <c r="N23" s="2">
        <f t="shared" si="2"/>
        <v>14</v>
      </c>
      <c r="O23" s="2">
        <f>原始值!H23+VLOOKUP($H23,怪物强度修正!$A$2:$R$17,COLUMN(O23)-9,FALSE)</f>
        <v>0</v>
      </c>
      <c r="P23" s="2">
        <f>原始值!I23+VLOOKUP($H23,怪物强度修正!$A$2:$R$17,COLUMN(P23)-9,FALSE)</f>
        <v>0</v>
      </c>
      <c r="Q23" s="2">
        <f>原始值!J23+VLOOKUP($H23,怪物强度修正!$A$2:$R$17,COLUMN(Q23)-9,FALSE)</f>
        <v>3</v>
      </c>
      <c r="R23" s="2">
        <f>原始值!K23+VLOOKUP($H23,怪物强度修正!$A$2:$R$17,COLUMN(R23)-9,FALSE)</f>
        <v>3</v>
      </c>
      <c r="S23" s="2">
        <f>原始值!L23+VLOOKUP($H23,怪物强度修正!$A$2:$R$17,COLUMN(S23)-9,FALSE)</f>
        <v>2</v>
      </c>
      <c r="T23" s="2">
        <f>原始值!M23+VLOOKUP($H23,怪物强度修正!$A$2:$R$17,COLUMN(T23)-9,FALSE)</f>
        <v>2</v>
      </c>
      <c r="U23" s="2">
        <f>原始值!N23+VLOOKUP($H23,怪物强度修正!$A$2:$R$17,COLUMN(U23)-9,FALSE)</f>
        <v>165</v>
      </c>
      <c r="V23" s="2">
        <v>1</v>
      </c>
      <c r="W23" s="2">
        <f>原始值!P23+VLOOKUP($H23,怪物强度修正!$A$2:$R$17,COLUMN(W23)-9,FALSE)</f>
        <v>15</v>
      </c>
      <c r="X23" s="2">
        <f>原始值!Q23+VLOOKUP($H23,怪物强度修正!$A$2:$R$17,COLUMN(X23)-9,FALSE)</f>
        <v>15</v>
      </c>
      <c r="Y23" s="2">
        <f>原始值!R23+VLOOKUP($H23,怪物强度修正!$A$2:$R$17,COLUMN(Y23)-9,FALSE)</f>
        <v>75</v>
      </c>
      <c r="Z23" s="2">
        <f>原始值!S23+VLOOKUP($H23,怪物强度修正!$A$2:$R$17,COLUMN(Z23)-9,FALSE)</f>
        <v>300</v>
      </c>
      <c r="AA23" s="2">
        <f>原始值!T23+VLOOKUP($H23,怪物强度修正!$A$2:$R$17,COLUMN(AA23)-9,FALSE)</f>
        <v>50</v>
      </c>
    </row>
    <row r="24" spans="1:27" s="2" customFormat="1">
      <c r="A24" s="2" t="str">
        <f t="shared" si="0"/>
        <v>PhyType.NewNpcType_113</v>
      </c>
      <c r="B24" s="2" t="s">
        <v>137</v>
      </c>
      <c r="C24" s="2">
        <v>113</v>
      </c>
      <c r="D24" s="2">
        <v>113</v>
      </c>
      <c r="G24" s="2" t="s">
        <v>160</v>
      </c>
      <c r="H24" s="2" t="s">
        <v>91</v>
      </c>
      <c r="I24" s="2">
        <v>259</v>
      </c>
      <c r="K24" s="2">
        <f>原始值!D24+VLOOKUP($H24,怪物强度修正!$A$2:$R$17,COLUMN(K24)-9,FALSE)</f>
        <v>12</v>
      </c>
      <c r="L24" s="2">
        <f>原始值!E24+VLOOKUP($H24,怪物强度修正!$A$2:$R$17,COLUMN(L24)-9,FALSE)</f>
        <v>26</v>
      </c>
      <c r="M24" s="2">
        <f t="shared" si="1"/>
        <v>12</v>
      </c>
      <c r="N24" s="2">
        <f t="shared" si="2"/>
        <v>26</v>
      </c>
      <c r="O24" s="2">
        <f>原始值!H24+VLOOKUP($H24,怪物强度修正!$A$2:$R$17,COLUMN(O24)-9,FALSE)</f>
        <v>0</v>
      </c>
      <c r="P24" s="2">
        <f>原始值!I24+VLOOKUP($H24,怪物强度修正!$A$2:$R$17,COLUMN(P24)-9,FALSE)</f>
        <v>0</v>
      </c>
      <c r="Q24" s="2">
        <f>原始值!J24+VLOOKUP($H24,怪物强度修正!$A$2:$R$17,COLUMN(Q24)-9,FALSE)</f>
        <v>3</v>
      </c>
      <c r="R24" s="2">
        <f>原始值!K24+VLOOKUP($H24,怪物强度修正!$A$2:$R$17,COLUMN(R24)-9,FALSE)</f>
        <v>3</v>
      </c>
      <c r="S24" s="2">
        <f>原始值!L24+VLOOKUP($H24,怪物强度修正!$A$2:$R$17,COLUMN(S24)-9,FALSE)</f>
        <v>2</v>
      </c>
      <c r="T24" s="2">
        <f>原始值!M24+VLOOKUP($H24,怪物强度修正!$A$2:$R$17,COLUMN(T24)-9,FALSE)</f>
        <v>2</v>
      </c>
      <c r="U24" s="2">
        <f>原始值!N24+VLOOKUP($H24,怪物强度修正!$A$2:$R$17,COLUMN(U24)-9,FALSE)</f>
        <v>265</v>
      </c>
      <c r="V24" s="2">
        <v>1</v>
      </c>
      <c r="W24" s="2">
        <f>原始值!P24+VLOOKUP($H24,怪物强度修正!$A$2:$R$17,COLUMN(W24)-9,FALSE)</f>
        <v>13</v>
      </c>
      <c r="X24" s="2">
        <f>原始值!Q24+VLOOKUP($H24,怪物强度修正!$A$2:$R$17,COLUMN(X24)-9,FALSE)</f>
        <v>15</v>
      </c>
      <c r="Y24" s="2">
        <f>原始值!R24+VLOOKUP($H24,怪物强度修正!$A$2:$R$17,COLUMN(Y24)-9,FALSE)</f>
        <v>75</v>
      </c>
      <c r="Z24" s="2">
        <f>原始值!S24+VLOOKUP($H24,怪物强度修正!$A$2:$R$17,COLUMN(Z24)-9,FALSE)</f>
        <v>300</v>
      </c>
      <c r="AA24" s="2">
        <f>原始值!T24+VLOOKUP($H24,怪物强度修正!$A$2:$R$17,COLUMN(AA24)-9,FALSE)</f>
        <v>50</v>
      </c>
    </row>
    <row r="25" spans="1:27" s="2" customFormat="1">
      <c r="A25" s="2" t="str">
        <f t="shared" si="0"/>
        <v>PhyType.NewNpcType_114</v>
      </c>
      <c r="B25" s="2" t="s">
        <v>137</v>
      </c>
      <c r="C25" s="2">
        <v>114</v>
      </c>
      <c r="D25" s="2">
        <v>114</v>
      </c>
      <c r="G25" s="2" t="s">
        <v>32</v>
      </c>
      <c r="H25" s="2" t="s">
        <v>91</v>
      </c>
      <c r="I25" s="2">
        <v>279</v>
      </c>
      <c r="K25" s="2">
        <f>原始值!D25+VLOOKUP($H25,怪物强度修正!$A$2:$R$17,COLUMN(K25)-9,FALSE)</f>
        <v>14</v>
      </c>
      <c r="L25" s="2">
        <f>原始值!E25+VLOOKUP($H25,怪物强度修正!$A$2:$R$17,COLUMN(L25)-9,FALSE)</f>
        <v>26</v>
      </c>
      <c r="M25" s="2">
        <f t="shared" si="1"/>
        <v>14</v>
      </c>
      <c r="N25" s="2">
        <f t="shared" si="2"/>
        <v>26</v>
      </c>
      <c r="O25" s="2">
        <f>原始值!H25+VLOOKUP($H25,怪物强度修正!$A$2:$R$17,COLUMN(O25)-9,FALSE)</f>
        <v>0</v>
      </c>
      <c r="P25" s="2">
        <f>原始值!I25+VLOOKUP($H25,怪物强度修正!$A$2:$R$17,COLUMN(P25)-9,FALSE)</f>
        <v>0</v>
      </c>
      <c r="Q25" s="2">
        <f>原始值!J25+VLOOKUP($H25,怪物强度修正!$A$2:$R$17,COLUMN(Q25)-9,FALSE)</f>
        <v>3</v>
      </c>
      <c r="R25" s="2">
        <f>原始值!K25+VLOOKUP($H25,怪物强度修正!$A$2:$R$17,COLUMN(R25)-9,FALSE)</f>
        <v>3</v>
      </c>
      <c r="S25" s="2">
        <f>原始值!L25+VLOOKUP($H25,怪物强度修正!$A$2:$R$17,COLUMN(S25)-9,FALSE)</f>
        <v>2</v>
      </c>
      <c r="T25" s="2">
        <f>原始值!M25+VLOOKUP($H25,怪物强度修正!$A$2:$R$17,COLUMN(T25)-9,FALSE)</f>
        <v>2</v>
      </c>
      <c r="U25" s="2">
        <f>原始值!N25+VLOOKUP($H25,怪物强度修正!$A$2:$R$17,COLUMN(U25)-9,FALSE)</f>
        <v>285</v>
      </c>
      <c r="V25" s="2">
        <v>1</v>
      </c>
      <c r="W25" s="2">
        <f>原始值!P25+VLOOKUP($H25,怪物强度修正!$A$2:$R$17,COLUMN(W25)-9,FALSE)</f>
        <v>13</v>
      </c>
      <c r="X25" s="2">
        <f>原始值!Q25+VLOOKUP($H25,怪物强度修正!$A$2:$R$17,COLUMN(X25)-9,FALSE)</f>
        <v>15</v>
      </c>
      <c r="Y25" s="2">
        <f>原始值!R25+VLOOKUP($H25,怪物强度修正!$A$2:$R$17,COLUMN(Y25)-9,FALSE)</f>
        <v>75</v>
      </c>
      <c r="Z25" s="2">
        <f>原始值!S25+VLOOKUP($H25,怪物强度修正!$A$2:$R$17,COLUMN(Z25)-9,FALSE)</f>
        <v>300</v>
      </c>
      <c r="AA25" s="2">
        <f>原始值!T25+VLOOKUP($H25,怪物强度修正!$A$2:$R$17,COLUMN(AA25)-9,FALSE)</f>
        <v>50</v>
      </c>
    </row>
    <row r="26" spans="1:27" s="2" customFormat="1">
      <c r="A26" s="2" t="str">
        <f t="shared" si="0"/>
        <v>PhyType.NewNpcType_115</v>
      </c>
      <c r="B26" s="2" t="s">
        <v>137</v>
      </c>
      <c r="C26" s="2">
        <v>115</v>
      </c>
      <c r="D26" s="2">
        <v>115</v>
      </c>
      <c r="G26" s="2" t="s">
        <v>33</v>
      </c>
      <c r="H26" s="2" t="s">
        <v>91</v>
      </c>
      <c r="I26" s="2">
        <v>279</v>
      </c>
      <c r="K26" s="2">
        <f>原始值!D26+VLOOKUP($H26,怪物强度修正!$A$2:$R$17,COLUMN(K26)-9,FALSE)</f>
        <v>13</v>
      </c>
      <c r="L26" s="2">
        <f>原始值!E26+VLOOKUP($H26,怪物强度修正!$A$2:$R$17,COLUMN(L26)-9,FALSE)</f>
        <v>27</v>
      </c>
      <c r="M26" s="2">
        <f t="shared" si="1"/>
        <v>13</v>
      </c>
      <c r="N26" s="2">
        <f t="shared" si="2"/>
        <v>27</v>
      </c>
      <c r="O26" s="2">
        <f>原始值!H26+VLOOKUP($H26,怪物强度修正!$A$2:$R$17,COLUMN(O26)-9,FALSE)</f>
        <v>0</v>
      </c>
      <c r="P26" s="2">
        <f>原始值!I26+VLOOKUP($H26,怪物强度修正!$A$2:$R$17,COLUMN(P26)-9,FALSE)</f>
        <v>0</v>
      </c>
      <c r="Q26" s="2">
        <f>原始值!J26+VLOOKUP($H26,怪物强度修正!$A$2:$R$17,COLUMN(Q26)-9,FALSE)</f>
        <v>3</v>
      </c>
      <c r="R26" s="2">
        <f>原始值!K26+VLOOKUP($H26,怪物强度修正!$A$2:$R$17,COLUMN(R26)-9,FALSE)</f>
        <v>3</v>
      </c>
      <c r="S26" s="2">
        <f>原始值!L26+VLOOKUP($H26,怪物强度修正!$A$2:$R$17,COLUMN(S26)-9,FALSE)</f>
        <v>2</v>
      </c>
      <c r="T26" s="2">
        <f>原始值!M26+VLOOKUP($H26,怪物强度修正!$A$2:$R$17,COLUMN(T26)-9,FALSE)</f>
        <v>2</v>
      </c>
      <c r="U26" s="2">
        <f>原始值!N26+VLOOKUP($H26,怪物强度修正!$A$2:$R$17,COLUMN(U26)-9,FALSE)</f>
        <v>285</v>
      </c>
      <c r="V26" s="2">
        <v>1</v>
      </c>
      <c r="W26" s="2">
        <f>原始值!P26+VLOOKUP($H26,怪物强度修正!$A$2:$R$17,COLUMN(W26)-9,FALSE)</f>
        <v>13</v>
      </c>
      <c r="X26" s="2">
        <f>原始值!Q26+VLOOKUP($H26,怪物强度修正!$A$2:$R$17,COLUMN(X26)-9,FALSE)</f>
        <v>15</v>
      </c>
      <c r="Y26" s="2">
        <f>原始值!R26+VLOOKUP($H26,怪物强度修正!$A$2:$R$17,COLUMN(Y26)-9,FALSE)</f>
        <v>75</v>
      </c>
      <c r="Z26" s="2">
        <f>原始值!S26+VLOOKUP($H26,怪物强度修正!$A$2:$R$17,COLUMN(Z26)-9,FALSE)</f>
        <v>300</v>
      </c>
      <c r="AA26" s="2">
        <f>原始值!T26+VLOOKUP($H26,怪物强度修正!$A$2:$R$17,COLUMN(AA26)-9,FALSE)</f>
        <v>50</v>
      </c>
    </row>
    <row r="27" spans="1:27" s="2" customFormat="1">
      <c r="A27" s="2" t="str">
        <f t="shared" si="0"/>
        <v>PhyType.NewNpcType_116</v>
      </c>
      <c r="B27" s="2" t="s">
        <v>137</v>
      </c>
      <c r="C27" s="2">
        <v>116</v>
      </c>
      <c r="D27" s="2">
        <v>116</v>
      </c>
      <c r="G27" s="2" t="s">
        <v>34</v>
      </c>
      <c r="H27" s="2" t="s">
        <v>91</v>
      </c>
      <c r="I27" s="2">
        <v>289</v>
      </c>
      <c r="K27" s="2">
        <f>原始值!D27+VLOOKUP($H27,怪物强度修正!$A$2:$R$17,COLUMN(K27)-9,FALSE)</f>
        <v>12</v>
      </c>
      <c r="L27" s="2">
        <f>原始值!E27+VLOOKUP($H27,怪物强度修正!$A$2:$R$17,COLUMN(L27)-9,FALSE)</f>
        <v>24</v>
      </c>
      <c r="M27" s="2">
        <f t="shared" si="1"/>
        <v>12</v>
      </c>
      <c r="N27" s="2">
        <f t="shared" si="2"/>
        <v>24</v>
      </c>
      <c r="O27" s="2">
        <f>原始值!H27+VLOOKUP($H27,怪物强度修正!$A$2:$R$17,COLUMN(O27)-9,FALSE)</f>
        <v>0</v>
      </c>
      <c r="P27" s="2">
        <f>原始值!I27+VLOOKUP($H27,怪物强度修正!$A$2:$R$17,COLUMN(P27)-9,FALSE)</f>
        <v>0</v>
      </c>
      <c r="Q27" s="2">
        <f>原始值!J27+VLOOKUP($H27,怪物强度修正!$A$2:$R$17,COLUMN(Q27)-9,FALSE)</f>
        <v>0</v>
      </c>
      <c r="R27" s="2">
        <f>原始值!K27+VLOOKUP($H27,怪物强度修正!$A$2:$R$17,COLUMN(R27)-9,FALSE)</f>
        <v>0</v>
      </c>
      <c r="S27" s="2">
        <f>原始值!L27+VLOOKUP($H27,怪物强度修正!$A$2:$R$17,COLUMN(S27)-9,FALSE)</f>
        <v>0</v>
      </c>
      <c r="T27" s="2">
        <f>原始值!M27+VLOOKUP($H27,怪物强度修正!$A$2:$R$17,COLUMN(T27)-9,FALSE)</f>
        <v>0</v>
      </c>
      <c r="U27" s="2">
        <f>原始值!N27+VLOOKUP($H27,怪物强度修正!$A$2:$R$17,COLUMN(U27)-9,FALSE)</f>
        <v>340</v>
      </c>
      <c r="V27" s="2">
        <v>1</v>
      </c>
      <c r="W27" s="2">
        <f>原始值!P27+VLOOKUP($H27,怪物强度修正!$A$2:$R$17,COLUMN(W27)-9,FALSE)</f>
        <v>20</v>
      </c>
      <c r="X27" s="2">
        <f>原始值!Q27+VLOOKUP($H27,怪物强度修正!$A$2:$R$17,COLUMN(X27)-9,FALSE)</f>
        <v>20</v>
      </c>
      <c r="Y27" s="2">
        <f>原始值!R27+VLOOKUP($H27,怪物强度修正!$A$2:$R$17,COLUMN(Y27)-9,FALSE)</f>
        <v>75</v>
      </c>
      <c r="Z27" s="2">
        <f>原始值!S27+VLOOKUP($H27,怪物强度修正!$A$2:$R$17,COLUMN(Z27)-9,FALSE)</f>
        <v>300</v>
      </c>
      <c r="AA27" s="2">
        <f>原始值!T27+VLOOKUP($H27,怪物强度修正!$A$2:$R$17,COLUMN(AA27)-9,FALSE)</f>
        <v>50</v>
      </c>
    </row>
    <row r="28" spans="1:27" s="2" customFormat="1">
      <c r="A28" s="2" t="str">
        <f t="shared" si="0"/>
        <v>PhyType.NewNpcType_117</v>
      </c>
      <c r="B28" s="2" t="s">
        <v>137</v>
      </c>
      <c r="C28" s="2">
        <v>117</v>
      </c>
      <c r="D28" s="2">
        <v>117</v>
      </c>
      <c r="G28" s="2" t="s">
        <v>35</v>
      </c>
      <c r="H28" s="2" t="s">
        <v>82</v>
      </c>
      <c r="I28" s="2">
        <v>36</v>
      </c>
      <c r="K28" s="2">
        <f>原始值!D28+VLOOKUP($H28,怪物强度修正!$A$2:$R$17,COLUMN(K28)-9,FALSE)</f>
        <v>4</v>
      </c>
      <c r="L28" s="2">
        <f>原始值!E28+VLOOKUP($H28,怪物强度修正!$A$2:$R$17,COLUMN(L28)-9,FALSE)</f>
        <v>10</v>
      </c>
      <c r="M28" s="2">
        <f t="shared" si="1"/>
        <v>4</v>
      </c>
      <c r="N28" s="2">
        <f t="shared" si="2"/>
        <v>10</v>
      </c>
      <c r="O28" s="2">
        <f>原始值!H28+VLOOKUP($H28,怪物强度修正!$A$2:$R$17,COLUMN(O28)-9,FALSE)</f>
        <v>0</v>
      </c>
      <c r="P28" s="2">
        <f>原始值!I28+VLOOKUP($H28,怪物强度修正!$A$2:$R$17,COLUMN(P28)-9,FALSE)</f>
        <v>0</v>
      </c>
      <c r="Q28" s="2">
        <f>原始值!J28+VLOOKUP($H28,怪物强度修正!$A$2:$R$17,COLUMN(Q28)-9,FALSE)</f>
        <v>0</v>
      </c>
      <c r="R28" s="2">
        <f>原始值!K28+VLOOKUP($H28,怪物强度修正!$A$2:$R$17,COLUMN(R28)-9,FALSE)</f>
        <v>0</v>
      </c>
      <c r="S28" s="2">
        <f>原始值!L28+VLOOKUP($H28,怪物强度修正!$A$2:$R$17,COLUMN(S28)-9,FALSE)</f>
        <v>0</v>
      </c>
      <c r="T28" s="2">
        <f>原始值!M28+VLOOKUP($H28,怪物强度修正!$A$2:$R$17,COLUMN(T28)-9,FALSE)</f>
        <v>0</v>
      </c>
      <c r="U28" s="2">
        <f>原始值!N28+VLOOKUP($H28,怪物强度修正!$A$2:$R$17,COLUMN(U28)-9,FALSE)</f>
        <v>50</v>
      </c>
      <c r="V28" s="2">
        <v>1</v>
      </c>
      <c r="W28" s="2">
        <f>原始值!P28+VLOOKUP($H28,怪物强度修正!$A$2:$R$17,COLUMN(W28)-9,FALSE)</f>
        <v>7</v>
      </c>
      <c r="X28" s="2">
        <f>原始值!Q28+VLOOKUP($H28,怪物强度修正!$A$2:$R$17,COLUMN(X28)-9,FALSE)</f>
        <v>12</v>
      </c>
      <c r="Y28" s="2">
        <f>原始值!R28+VLOOKUP($H28,怪物强度修正!$A$2:$R$17,COLUMN(Y28)-9,FALSE)</f>
        <v>75</v>
      </c>
      <c r="Z28" s="2">
        <f>原始值!S28+VLOOKUP($H28,怪物强度修正!$A$2:$R$17,COLUMN(Z28)-9,FALSE)</f>
        <v>300</v>
      </c>
      <c r="AA28" s="2">
        <f>原始值!T28+VLOOKUP($H28,怪物强度修正!$A$2:$R$17,COLUMN(AA28)-9,FALSE)</f>
        <v>50</v>
      </c>
    </row>
    <row r="29" spans="1:27" s="2" customFormat="1">
      <c r="A29" s="2" t="str">
        <f t="shared" ref="A29" si="3">"PhyType.NewNpcType_"&amp;D29</f>
        <v>PhyType.NewNpcType_138</v>
      </c>
      <c r="B29" s="2" t="s">
        <v>137</v>
      </c>
      <c r="C29" s="2">
        <v>138</v>
      </c>
      <c r="D29" s="2">
        <v>138</v>
      </c>
      <c r="G29" s="2" t="s">
        <v>164</v>
      </c>
      <c r="H29" s="2" t="s">
        <v>82</v>
      </c>
      <c r="I29" s="2">
        <v>34</v>
      </c>
      <c r="K29" s="2">
        <f>原始值!D29+VLOOKUP($H29,怪物强度修正!$A$2:$R$17,COLUMN(K29)-9,FALSE)</f>
        <v>5</v>
      </c>
      <c r="L29" s="2">
        <f>原始值!E29+VLOOKUP($H29,怪物强度修正!$A$2:$R$17,COLUMN(L29)-9,FALSE)</f>
        <v>8</v>
      </c>
      <c r="M29" s="2">
        <f t="shared" si="1"/>
        <v>5</v>
      </c>
      <c r="N29" s="2">
        <f t="shared" si="2"/>
        <v>8</v>
      </c>
      <c r="O29" s="2">
        <f>原始值!H29+VLOOKUP($H29,怪物强度修正!$A$2:$R$17,COLUMN(O29)-9,FALSE)</f>
        <v>0</v>
      </c>
      <c r="P29" s="2">
        <f>原始值!I29+VLOOKUP($H29,怪物强度修正!$A$2:$R$17,COLUMN(P29)-9,FALSE)</f>
        <v>0</v>
      </c>
      <c r="Q29" s="2">
        <f>原始值!J29+VLOOKUP($H29,怪物强度修正!$A$2:$R$17,COLUMN(Q29)-9,FALSE)</f>
        <v>0</v>
      </c>
      <c r="R29" s="2">
        <f>原始值!K29+VLOOKUP($H29,怪物强度修正!$A$2:$R$17,COLUMN(R29)-9,FALSE)</f>
        <v>0</v>
      </c>
      <c r="S29" s="2">
        <f>原始值!L29+VLOOKUP($H29,怪物强度修正!$A$2:$R$17,COLUMN(S29)-9,FALSE)</f>
        <v>0</v>
      </c>
      <c r="T29" s="2">
        <f>原始值!M29+VLOOKUP($H29,怪物强度修正!$A$2:$R$17,COLUMN(T29)-9,FALSE)</f>
        <v>0</v>
      </c>
      <c r="U29" s="2">
        <f>原始值!N29+VLOOKUP($H29,怪物强度修正!$A$2:$R$17,COLUMN(U29)-9,FALSE)</f>
        <v>46</v>
      </c>
      <c r="V29" s="2">
        <v>1</v>
      </c>
      <c r="W29" s="2">
        <f>原始值!P29+VLOOKUP($H29,怪物强度修正!$A$2:$R$17,COLUMN(W29)-9,FALSE)</f>
        <v>10</v>
      </c>
      <c r="X29" s="2">
        <f>原始值!Q29+VLOOKUP($H29,怪物强度修正!$A$2:$R$17,COLUMN(X29)-9,FALSE)</f>
        <v>12</v>
      </c>
      <c r="Y29" s="2">
        <f>原始值!R29+VLOOKUP($H29,怪物强度修正!$A$2:$R$17,COLUMN(Y29)-9,FALSE)</f>
        <v>75</v>
      </c>
      <c r="Z29" s="2">
        <f>原始值!S29+VLOOKUP($H29,怪物强度修正!$A$2:$R$17,COLUMN(Z29)-9,FALSE)</f>
        <v>300</v>
      </c>
      <c r="AA29" s="2">
        <f>原始值!T29+VLOOKUP($H29,怪物强度修正!$A$2:$R$17,COLUMN(AA29)-9,FALSE)</f>
        <v>50</v>
      </c>
    </row>
    <row r="30" spans="1:27" s="2" customFormat="1">
      <c r="A30" s="2" t="str">
        <f t="shared" si="0"/>
        <v>PhyType.NewNpcType_118</v>
      </c>
      <c r="B30" s="2" t="s">
        <v>137</v>
      </c>
      <c r="C30" s="2">
        <v>118</v>
      </c>
      <c r="D30" s="2">
        <v>118</v>
      </c>
      <c r="G30" s="2" t="s">
        <v>36</v>
      </c>
      <c r="H30" s="2" t="s">
        <v>82</v>
      </c>
      <c r="I30" s="2">
        <v>34</v>
      </c>
      <c r="K30" s="2">
        <f>原始值!D30+VLOOKUP($H30,怪物强度修正!$A$2:$R$17,COLUMN(K30)-9,FALSE)</f>
        <v>6</v>
      </c>
      <c r="L30" s="2">
        <f>原始值!E30+VLOOKUP($H30,怪物强度修正!$A$2:$R$17,COLUMN(L30)-9,FALSE)</f>
        <v>9</v>
      </c>
      <c r="M30" s="2">
        <f t="shared" si="1"/>
        <v>6</v>
      </c>
      <c r="N30" s="2">
        <f t="shared" si="2"/>
        <v>9</v>
      </c>
      <c r="O30" s="2">
        <f>原始值!H30+VLOOKUP($H30,怪物强度修正!$A$2:$R$17,COLUMN(O30)-9,FALSE)</f>
        <v>0</v>
      </c>
      <c r="P30" s="2">
        <f>原始值!I30+VLOOKUP($H30,怪物强度修正!$A$2:$R$17,COLUMN(P30)-9,FALSE)</f>
        <v>0</v>
      </c>
      <c r="Q30" s="2">
        <f>原始值!J30+VLOOKUP($H30,怪物强度修正!$A$2:$R$17,COLUMN(Q30)-9,FALSE)</f>
        <v>0</v>
      </c>
      <c r="R30" s="2">
        <f>原始值!K30+VLOOKUP($H30,怪物强度修正!$A$2:$R$17,COLUMN(R30)-9,FALSE)</f>
        <v>0</v>
      </c>
      <c r="S30" s="2">
        <f>原始值!L30+VLOOKUP($H30,怪物强度修正!$A$2:$R$17,COLUMN(S30)-9,FALSE)</f>
        <v>0</v>
      </c>
      <c r="T30" s="2">
        <f>原始值!M30+VLOOKUP($H30,怪物强度修正!$A$2:$R$17,COLUMN(T30)-9,FALSE)</f>
        <v>0</v>
      </c>
      <c r="U30" s="2">
        <f>原始值!N30+VLOOKUP($H30,怪物强度修正!$A$2:$R$17,COLUMN(U30)-9,FALSE)</f>
        <v>37</v>
      </c>
      <c r="V30" s="2">
        <v>1</v>
      </c>
      <c r="W30" s="2">
        <f>原始值!P30+VLOOKUP($H30,怪物强度修正!$A$2:$R$17,COLUMN(W30)-9,FALSE)</f>
        <v>10</v>
      </c>
      <c r="X30" s="2">
        <f>原始值!Q30+VLOOKUP($H30,怪物强度修正!$A$2:$R$17,COLUMN(X30)-9,FALSE)</f>
        <v>13</v>
      </c>
      <c r="Y30" s="2">
        <f>原始值!R30+VLOOKUP($H30,怪物强度修正!$A$2:$R$17,COLUMN(Y30)-9,FALSE)</f>
        <v>75</v>
      </c>
      <c r="Z30" s="2">
        <f>原始值!S30+VLOOKUP($H30,怪物强度修正!$A$2:$R$17,COLUMN(Z30)-9,FALSE)</f>
        <v>300</v>
      </c>
      <c r="AA30" s="2">
        <f>原始值!T30+VLOOKUP($H30,怪物强度修正!$A$2:$R$17,COLUMN(AA30)-9,FALSE)</f>
        <v>50</v>
      </c>
    </row>
    <row r="31" spans="1:27" s="2" customFormat="1">
      <c r="A31" s="2" t="str">
        <f t="shared" si="0"/>
        <v>PhyType.NewNpcType_119</v>
      </c>
      <c r="B31" s="2" t="s">
        <v>137</v>
      </c>
      <c r="C31" s="2">
        <v>119</v>
      </c>
      <c r="D31" s="2">
        <v>119</v>
      </c>
      <c r="G31" s="2" t="s">
        <v>37</v>
      </c>
      <c r="H31" s="2" t="s">
        <v>82</v>
      </c>
      <c r="I31" s="2">
        <v>31</v>
      </c>
      <c r="K31" s="2">
        <f>原始值!D31+VLOOKUP($H31,怪物强度修正!$A$2:$R$17,COLUMN(K31)-9,FALSE)</f>
        <v>7</v>
      </c>
      <c r="L31" s="2">
        <f>原始值!E31+VLOOKUP($H31,怪物强度修正!$A$2:$R$17,COLUMN(L31)-9,FALSE)</f>
        <v>8</v>
      </c>
      <c r="M31" s="2">
        <f t="shared" si="1"/>
        <v>7</v>
      </c>
      <c r="N31" s="2">
        <f t="shared" si="2"/>
        <v>8</v>
      </c>
      <c r="O31" s="2">
        <f>原始值!H31+VLOOKUP($H31,怪物强度修正!$A$2:$R$17,COLUMN(O31)-9,FALSE)</f>
        <v>0</v>
      </c>
      <c r="P31" s="2">
        <f>原始值!I31+VLOOKUP($H31,怪物强度修正!$A$2:$R$17,COLUMN(P31)-9,FALSE)</f>
        <v>0</v>
      </c>
      <c r="Q31" s="2">
        <f>原始值!J31+VLOOKUP($H31,怪物强度修正!$A$2:$R$17,COLUMN(Q31)-9,FALSE)</f>
        <v>0</v>
      </c>
      <c r="R31" s="2">
        <f>原始值!K31+VLOOKUP($H31,怪物强度修正!$A$2:$R$17,COLUMN(R31)-9,FALSE)</f>
        <v>0</v>
      </c>
      <c r="S31" s="2">
        <f>原始值!L31+VLOOKUP($H31,怪物强度修正!$A$2:$R$17,COLUMN(S31)-9,FALSE)</f>
        <v>0</v>
      </c>
      <c r="T31" s="2">
        <f>原始值!M31+VLOOKUP($H31,怪物强度修正!$A$2:$R$17,COLUMN(T31)-9,FALSE)</f>
        <v>0</v>
      </c>
      <c r="U31" s="2">
        <f>原始值!N31+VLOOKUP($H31,怪物强度修正!$A$2:$R$17,COLUMN(U31)-9,FALSE)</f>
        <v>52</v>
      </c>
      <c r="V31" s="2">
        <v>1</v>
      </c>
      <c r="W31" s="2">
        <f>原始值!P31+VLOOKUP($H31,怪物强度修正!$A$2:$R$17,COLUMN(W31)-9,FALSE)</f>
        <v>10</v>
      </c>
      <c r="X31" s="2">
        <f>原始值!Q31+VLOOKUP($H31,怪物强度修正!$A$2:$R$17,COLUMN(X31)-9,FALSE)</f>
        <v>13</v>
      </c>
      <c r="Y31" s="2">
        <f>原始值!R31+VLOOKUP($H31,怪物强度修正!$A$2:$R$17,COLUMN(Y31)-9,FALSE)</f>
        <v>75</v>
      </c>
      <c r="Z31" s="2">
        <f>原始值!S31+VLOOKUP($H31,怪物强度修正!$A$2:$R$17,COLUMN(Z31)-9,FALSE)</f>
        <v>300</v>
      </c>
      <c r="AA31" s="2">
        <f>原始值!T31+VLOOKUP($H31,怪物强度修正!$A$2:$R$17,COLUMN(AA31)-9,FALSE)</f>
        <v>50</v>
      </c>
    </row>
    <row r="32" spans="1:27" s="2" customFormat="1">
      <c r="A32" s="2" t="str">
        <f t="shared" si="0"/>
        <v>PhyType.NewNpcType_120</v>
      </c>
      <c r="B32" s="2" t="s">
        <v>137</v>
      </c>
      <c r="C32" s="2">
        <v>120</v>
      </c>
      <c r="D32" s="2">
        <v>120</v>
      </c>
      <c r="G32" s="2" t="s">
        <v>38</v>
      </c>
      <c r="H32" s="2" t="s">
        <v>93</v>
      </c>
      <c r="I32" s="2">
        <v>229</v>
      </c>
      <c r="K32" s="2">
        <f>原始值!D32+VLOOKUP($H32,怪物强度修正!$A$2:$R$17,COLUMN(K32)-9,FALSE)</f>
        <v>15</v>
      </c>
      <c r="L32" s="2">
        <f>原始值!E32+VLOOKUP($H32,怪物强度修正!$A$2:$R$17,COLUMN(L32)-9,FALSE)</f>
        <v>21</v>
      </c>
      <c r="M32" s="2">
        <f t="shared" si="1"/>
        <v>15</v>
      </c>
      <c r="N32" s="2">
        <f t="shared" si="2"/>
        <v>21</v>
      </c>
      <c r="O32" s="2">
        <f>原始值!H32+VLOOKUP($H32,怪物强度修正!$A$2:$R$17,COLUMN(O32)-9,FALSE)</f>
        <v>0</v>
      </c>
      <c r="P32" s="2">
        <f>原始值!I32+VLOOKUP($H32,怪物强度修正!$A$2:$R$17,COLUMN(P32)-9,FALSE)</f>
        <v>0</v>
      </c>
      <c r="Q32" s="2">
        <f>原始值!J32+VLOOKUP($H32,怪物强度修正!$A$2:$R$17,COLUMN(Q32)-9,FALSE)</f>
        <v>1</v>
      </c>
      <c r="R32" s="2">
        <f>原始值!K32+VLOOKUP($H32,怪物强度修正!$A$2:$R$17,COLUMN(R32)-9,FALSE)</f>
        <v>1</v>
      </c>
      <c r="S32" s="2">
        <f>原始值!L32+VLOOKUP($H32,怪物强度修正!$A$2:$R$17,COLUMN(S32)-9,FALSE)</f>
        <v>7</v>
      </c>
      <c r="T32" s="2">
        <f>原始值!M32+VLOOKUP($H32,怪物强度修正!$A$2:$R$17,COLUMN(T32)-9,FALSE)</f>
        <v>7</v>
      </c>
      <c r="U32" s="2">
        <f>原始值!N32+VLOOKUP($H32,怪物强度修正!$A$2:$R$17,COLUMN(U32)-9,FALSE)</f>
        <v>230</v>
      </c>
      <c r="V32" s="2">
        <v>1</v>
      </c>
      <c r="W32" s="2">
        <f>原始值!P32+VLOOKUP($H32,怪物强度修正!$A$2:$R$17,COLUMN(W32)-9,FALSE)</f>
        <v>13</v>
      </c>
      <c r="X32" s="2">
        <f>原始值!Q32+VLOOKUP($H32,怪物强度修正!$A$2:$R$17,COLUMN(X32)-9,FALSE)</f>
        <v>15</v>
      </c>
      <c r="Y32" s="2">
        <f>原始值!R32+VLOOKUP($H32,怪物强度修正!$A$2:$R$17,COLUMN(Y32)-9,FALSE)</f>
        <v>75</v>
      </c>
      <c r="Z32" s="2">
        <f>原始值!S32+VLOOKUP($H32,怪物强度修正!$A$2:$R$17,COLUMN(Z32)-9,FALSE)</f>
        <v>300</v>
      </c>
      <c r="AA32" s="2">
        <f>原始值!T32+VLOOKUP($H32,怪物强度修正!$A$2:$R$17,COLUMN(AA32)-9,FALSE)</f>
        <v>50</v>
      </c>
    </row>
    <row r="33" spans="1:27" s="2" customFormat="1">
      <c r="A33" s="2" t="str">
        <f t="shared" si="0"/>
        <v>PhyType.NewNpcType_121</v>
      </c>
      <c r="B33" s="2" t="s">
        <v>137</v>
      </c>
      <c r="C33" s="2">
        <v>121</v>
      </c>
      <c r="D33" s="2">
        <v>121</v>
      </c>
      <c r="G33" s="2" t="s">
        <v>39</v>
      </c>
      <c r="H33" s="2" t="s">
        <v>93</v>
      </c>
      <c r="I33" s="2">
        <v>229</v>
      </c>
      <c r="K33" s="2">
        <f>原始值!D33+VLOOKUP($H33,怪物强度修正!$A$2:$R$17,COLUMN(K33)-9,FALSE)</f>
        <v>18</v>
      </c>
      <c r="L33" s="2">
        <f>原始值!E33+VLOOKUP($H33,怪物强度修正!$A$2:$R$17,COLUMN(L33)-9,FALSE)</f>
        <v>21</v>
      </c>
      <c r="M33" s="2">
        <f t="shared" si="1"/>
        <v>18</v>
      </c>
      <c r="N33" s="2">
        <f t="shared" si="2"/>
        <v>21</v>
      </c>
      <c r="O33" s="2">
        <f>原始值!H33+VLOOKUP($H33,怪物强度修正!$A$2:$R$17,COLUMN(O33)-9,FALSE)</f>
        <v>0</v>
      </c>
      <c r="P33" s="2">
        <f>原始值!I33+VLOOKUP($H33,怪物强度修正!$A$2:$R$17,COLUMN(P33)-9,FALSE)</f>
        <v>0</v>
      </c>
      <c r="Q33" s="2">
        <f>原始值!J33+VLOOKUP($H33,怪物强度修正!$A$2:$R$17,COLUMN(Q33)-9,FALSE)</f>
        <v>4</v>
      </c>
      <c r="R33" s="2">
        <f>原始值!K33+VLOOKUP($H33,怪物强度修正!$A$2:$R$17,COLUMN(R33)-9,FALSE)</f>
        <v>4</v>
      </c>
      <c r="S33" s="2">
        <f>原始值!L33+VLOOKUP($H33,怪物强度修正!$A$2:$R$17,COLUMN(S33)-9,FALSE)</f>
        <v>5</v>
      </c>
      <c r="T33" s="2">
        <f>原始值!M33+VLOOKUP($H33,怪物强度修正!$A$2:$R$17,COLUMN(T33)-9,FALSE)</f>
        <v>5</v>
      </c>
      <c r="U33" s="2">
        <f>原始值!N33+VLOOKUP($H33,怪物强度修正!$A$2:$R$17,COLUMN(U33)-9,FALSE)</f>
        <v>200</v>
      </c>
      <c r="V33" s="2">
        <v>1</v>
      </c>
      <c r="W33" s="2">
        <f>原始值!P33+VLOOKUP($H33,怪物强度修正!$A$2:$R$17,COLUMN(W33)-9,FALSE)</f>
        <v>13</v>
      </c>
      <c r="X33" s="2">
        <f>原始值!Q33+VLOOKUP($H33,怪物强度修正!$A$2:$R$17,COLUMN(X33)-9,FALSE)</f>
        <v>15</v>
      </c>
      <c r="Y33" s="2">
        <f>原始值!R33+VLOOKUP($H33,怪物强度修正!$A$2:$R$17,COLUMN(Y33)-9,FALSE)</f>
        <v>75</v>
      </c>
      <c r="Z33" s="2">
        <f>原始值!S33+VLOOKUP($H33,怪物强度修正!$A$2:$R$17,COLUMN(Z33)-9,FALSE)</f>
        <v>300</v>
      </c>
      <c r="AA33" s="2">
        <f>原始值!T33+VLOOKUP($H33,怪物强度修正!$A$2:$R$17,COLUMN(AA33)-9,FALSE)</f>
        <v>50</v>
      </c>
    </row>
    <row r="34" spans="1:27" s="2" customFormat="1">
      <c r="A34" s="2" t="str">
        <f t="shared" si="0"/>
        <v>PhyType.NewNpcType_122</v>
      </c>
      <c r="B34" s="2" t="s">
        <v>137</v>
      </c>
      <c r="C34" s="2">
        <v>122</v>
      </c>
      <c r="D34" s="2">
        <v>122</v>
      </c>
      <c r="G34" s="2" t="s">
        <v>40</v>
      </c>
      <c r="H34" s="2" t="s">
        <v>93</v>
      </c>
      <c r="I34" s="2">
        <v>249</v>
      </c>
      <c r="K34" s="2">
        <f>原始值!D34+VLOOKUP($H34,怪物强度修正!$A$2:$R$17,COLUMN(K34)-9,FALSE)</f>
        <v>18</v>
      </c>
      <c r="L34" s="2">
        <f>原始值!E34+VLOOKUP($H34,怪物强度修正!$A$2:$R$17,COLUMN(L34)-9,FALSE)</f>
        <v>28</v>
      </c>
      <c r="M34" s="2">
        <f t="shared" si="1"/>
        <v>18</v>
      </c>
      <c r="N34" s="2">
        <f t="shared" si="2"/>
        <v>28</v>
      </c>
      <c r="O34" s="2">
        <f>原始值!H34+VLOOKUP($H34,怪物强度修正!$A$2:$R$17,COLUMN(O34)-9,FALSE)</f>
        <v>0</v>
      </c>
      <c r="P34" s="2">
        <f>原始值!I34+VLOOKUP($H34,怪物强度修正!$A$2:$R$17,COLUMN(P34)-9,FALSE)</f>
        <v>0</v>
      </c>
      <c r="Q34" s="2">
        <f>原始值!J34+VLOOKUP($H34,怪物强度修正!$A$2:$R$17,COLUMN(Q34)-9,FALSE)</f>
        <v>6</v>
      </c>
      <c r="R34" s="2">
        <f>原始值!K34+VLOOKUP($H34,怪物强度修正!$A$2:$R$17,COLUMN(R34)-9,FALSE)</f>
        <v>6</v>
      </c>
      <c r="S34" s="2">
        <f>原始值!L34+VLOOKUP($H34,怪物强度修正!$A$2:$R$17,COLUMN(S34)-9,FALSE)</f>
        <v>9</v>
      </c>
      <c r="T34" s="2">
        <f>原始值!M34+VLOOKUP($H34,怪物强度修正!$A$2:$R$17,COLUMN(T34)-9,FALSE)</f>
        <v>9</v>
      </c>
      <c r="U34" s="2">
        <f>原始值!N34+VLOOKUP($H34,怪物强度修正!$A$2:$R$17,COLUMN(U34)-9,FALSE)</f>
        <v>270</v>
      </c>
      <c r="V34" s="2">
        <v>1</v>
      </c>
      <c r="W34" s="2">
        <f>原始值!P34+VLOOKUP($H34,怪物强度修正!$A$2:$R$17,COLUMN(W34)-9,FALSE)</f>
        <v>13</v>
      </c>
      <c r="X34" s="2">
        <f>原始值!Q34+VLOOKUP($H34,怪物强度修正!$A$2:$R$17,COLUMN(X34)-9,FALSE)</f>
        <v>15</v>
      </c>
      <c r="Y34" s="2">
        <f>原始值!R34+VLOOKUP($H34,怪物强度修正!$A$2:$R$17,COLUMN(Y34)-9,FALSE)</f>
        <v>75</v>
      </c>
      <c r="Z34" s="2">
        <f>原始值!S34+VLOOKUP($H34,怪物强度修正!$A$2:$R$17,COLUMN(Z34)-9,FALSE)</f>
        <v>300</v>
      </c>
      <c r="AA34" s="2">
        <f>原始值!T34+VLOOKUP($H34,怪物强度修正!$A$2:$R$17,COLUMN(AA34)-9,FALSE)</f>
        <v>50</v>
      </c>
    </row>
    <row r="35" spans="1:27" s="2" customFormat="1">
      <c r="A35" s="2" t="str">
        <f t="shared" si="0"/>
        <v>PhyType.NewNpcType_123</v>
      </c>
      <c r="B35" s="2" t="s">
        <v>137</v>
      </c>
      <c r="C35" s="2">
        <v>123</v>
      </c>
      <c r="D35" s="2">
        <v>123</v>
      </c>
      <c r="G35" s="2" t="s">
        <v>41</v>
      </c>
      <c r="H35" s="2" t="s">
        <v>93</v>
      </c>
      <c r="I35" s="2">
        <v>209</v>
      </c>
      <c r="K35" s="2">
        <f>原始值!D35+VLOOKUP($H35,怪物强度修正!$A$2:$R$17,COLUMN(K35)-9,FALSE)</f>
        <v>15</v>
      </c>
      <c r="L35" s="2">
        <f>原始值!E35+VLOOKUP($H35,怪物强度修正!$A$2:$R$17,COLUMN(L35)-9,FALSE)</f>
        <v>21</v>
      </c>
      <c r="M35" s="2">
        <f t="shared" si="1"/>
        <v>15</v>
      </c>
      <c r="N35" s="2">
        <f t="shared" si="2"/>
        <v>21</v>
      </c>
      <c r="O35" s="2">
        <f>原始值!H35+VLOOKUP($H35,怪物强度修正!$A$2:$R$17,COLUMN(O35)-9,FALSE)</f>
        <v>0</v>
      </c>
      <c r="P35" s="2">
        <f>原始值!I35+VLOOKUP($H35,怪物强度修正!$A$2:$R$17,COLUMN(P35)-9,FALSE)</f>
        <v>0</v>
      </c>
      <c r="Q35" s="2">
        <f>原始值!J35+VLOOKUP($H35,怪物强度修正!$A$2:$R$17,COLUMN(Q35)-9,FALSE)</f>
        <v>4</v>
      </c>
      <c r="R35" s="2">
        <f>原始值!K35+VLOOKUP($H35,怪物强度修正!$A$2:$R$17,COLUMN(R35)-9,FALSE)</f>
        <v>4</v>
      </c>
      <c r="S35" s="2">
        <f>原始值!L35+VLOOKUP($H35,怪物强度修正!$A$2:$R$17,COLUMN(S35)-9,FALSE)</f>
        <v>5</v>
      </c>
      <c r="T35" s="2">
        <f>原始值!M35+VLOOKUP($H35,怪物强度修正!$A$2:$R$17,COLUMN(T35)-9,FALSE)</f>
        <v>5</v>
      </c>
      <c r="U35" s="2">
        <f>原始值!N35+VLOOKUP($H35,怪物强度修正!$A$2:$R$17,COLUMN(U35)-9,FALSE)</f>
        <v>200</v>
      </c>
      <c r="V35" s="2">
        <v>1</v>
      </c>
      <c r="W35" s="2">
        <f>原始值!P35+VLOOKUP($H35,怪物强度修正!$A$2:$R$17,COLUMN(W35)-9,FALSE)</f>
        <v>13</v>
      </c>
      <c r="X35" s="2">
        <f>原始值!Q35+VLOOKUP($H35,怪物强度修正!$A$2:$R$17,COLUMN(X35)-9,FALSE)</f>
        <v>15</v>
      </c>
      <c r="Y35" s="2">
        <f>原始值!R35+VLOOKUP($H35,怪物强度修正!$A$2:$R$17,COLUMN(Y35)-9,FALSE)</f>
        <v>75</v>
      </c>
      <c r="Z35" s="2">
        <f>原始值!S35+VLOOKUP($H35,怪物强度修正!$A$2:$R$17,COLUMN(Z35)-9,FALSE)</f>
        <v>300</v>
      </c>
      <c r="AA35" s="2">
        <f>原始值!T35+VLOOKUP($H35,怪物强度修正!$A$2:$R$17,COLUMN(AA35)-9,FALSE)</f>
        <v>50</v>
      </c>
    </row>
    <row r="36" spans="1:27" s="2" customFormat="1">
      <c r="A36" s="2" t="str">
        <f t="shared" si="0"/>
        <v>PhyType.NewNpcType_124</v>
      </c>
      <c r="B36" s="2" t="s">
        <v>137</v>
      </c>
      <c r="C36" s="2">
        <v>124</v>
      </c>
      <c r="D36" s="2">
        <v>124</v>
      </c>
      <c r="G36" s="2" t="s">
        <v>42</v>
      </c>
      <c r="H36" s="2" t="s">
        <v>95</v>
      </c>
      <c r="I36" s="2">
        <v>179</v>
      </c>
      <c r="K36" s="2">
        <f>原始值!D36+VLOOKUP($H36,怪物强度修正!$A$2:$R$17,COLUMN(K36)-9,FALSE)</f>
        <v>13</v>
      </c>
      <c r="L36" s="2">
        <f>原始值!E36+VLOOKUP($H36,怪物强度修正!$A$2:$R$17,COLUMN(L36)-9,FALSE)</f>
        <v>18</v>
      </c>
      <c r="M36" s="2">
        <f t="shared" si="1"/>
        <v>13</v>
      </c>
      <c r="N36" s="2">
        <f t="shared" si="2"/>
        <v>18</v>
      </c>
      <c r="O36" s="2">
        <f>原始值!H36+VLOOKUP($H36,怪物强度修正!$A$2:$R$17,COLUMN(O36)-9,FALSE)</f>
        <v>0</v>
      </c>
      <c r="P36" s="2">
        <f>原始值!I36+VLOOKUP($H36,怪物强度修正!$A$2:$R$17,COLUMN(P36)-9,FALSE)</f>
        <v>0</v>
      </c>
      <c r="Q36" s="2">
        <f>原始值!J36+VLOOKUP($H36,怪物强度修正!$A$2:$R$17,COLUMN(Q36)-9,FALSE)</f>
        <v>6</v>
      </c>
      <c r="R36" s="2">
        <f>原始值!K36+VLOOKUP($H36,怪物强度修正!$A$2:$R$17,COLUMN(R36)-9,FALSE)</f>
        <v>6</v>
      </c>
      <c r="S36" s="2">
        <f>原始值!L36+VLOOKUP($H36,怪物强度修正!$A$2:$R$17,COLUMN(S36)-9,FALSE)</f>
        <v>2</v>
      </c>
      <c r="T36" s="2">
        <f>原始值!M36+VLOOKUP($H36,怪物强度修正!$A$2:$R$17,COLUMN(T36)-9,FALSE)</f>
        <v>2</v>
      </c>
      <c r="U36" s="2">
        <f>原始值!N36+VLOOKUP($H36,怪物强度修正!$A$2:$R$17,COLUMN(U36)-9,FALSE)</f>
        <v>230</v>
      </c>
      <c r="V36" s="2">
        <v>1</v>
      </c>
      <c r="W36" s="2">
        <f>原始值!P36+VLOOKUP($H36,怪物强度修正!$A$2:$R$17,COLUMN(W36)-9,FALSE)</f>
        <v>13</v>
      </c>
      <c r="X36" s="2">
        <f>原始值!Q36+VLOOKUP($H36,怪物强度修正!$A$2:$R$17,COLUMN(X36)-9,FALSE)</f>
        <v>15</v>
      </c>
      <c r="Y36" s="2">
        <f>原始值!R36+VLOOKUP($H36,怪物强度修正!$A$2:$R$17,COLUMN(Y36)-9,FALSE)</f>
        <v>75</v>
      </c>
      <c r="Z36" s="2">
        <f>原始值!S36+VLOOKUP($H36,怪物强度修正!$A$2:$R$17,COLUMN(Z36)-9,FALSE)</f>
        <v>300</v>
      </c>
      <c r="AA36" s="2">
        <f>原始值!T36+VLOOKUP($H36,怪物强度修正!$A$2:$R$17,COLUMN(AA36)-9,FALSE)</f>
        <v>50</v>
      </c>
    </row>
    <row r="37" spans="1:27" s="2" customFormat="1">
      <c r="A37" s="2" t="str">
        <f t="shared" si="0"/>
        <v>PhyType.NewNpcType_125</v>
      </c>
      <c r="B37" s="2" t="s">
        <v>137</v>
      </c>
      <c r="C37" s="2">
        <v>125</v>
      </c>
      <c r="D37" s="2">
        <v>125</v>
      </c>
      <c r="G37" s="2" t="s">
        <v>43</v>
      </c>
      <c r="H37" s="2" t="s">
        <v>95</v>
      </c>
      <c r="I37" s="2">
        <v>319</v>
      </c>
      <c r="K37" s="2">
        <f>原始值!D37+VLOOKUP($H37,怪物强度修正!$A$2:$R$17,COLUMN(K37)-9,FALSE)</f>
        <v>21</v>
      </c>
      <c r="L37" s="2">
        <f>原始值!E37+VLOOKUP($H37,怪物强度修正!$A$2:$R$17,COLUMN(L37)-9,FALSE)</f>
        <v>28</v>
      </c>
      <c r="M37" s="2">
        <f t="shared" si="1"/>
        <v>21</v>
      </c>
      <c r="N37" s="2">
        <f t="shared" si="2"/>
        <v>28</v>
      </c>
      <c r="O37" s="2">
        <f>原始值!H37+VLOOKUP($H37,怪物强度修正!$A$2:$R$17,COLUMN(O37)-9,FALSE)</f>
        <v>0</v>
      </c>
      <c r="P37" s="2">
        <f>原始值!I37+VLOOKUP($H37,怪物强度修正!$A$2:$R$17,COLUMN(P37)-9,FALSE)</f>
        <v>0</v>
      </c>
      <c r="Q37" s="2">
        <f>原始值!J37+VLOOKUP($H37,怪物强度修正!$A$2:$R$17,COLUMN(Q37)-9,FALSE)</f>
        <v>1</v>
      </c>
      <c r="R37" s="2">
        <f>原始值!K37+VLOOKUP($H37,怪物强度修正!$A$2:$R$17,COLUMN(R37)-9,FALSE)</f>
        <v>1</v>
      </c>
      <c r="S37" s="2">
        <f>原始值!L37+VLOOKUP($H37,怪物强度修正!$A$2:$R$17,COLUMN(S37)-9,FALSE)</f>
        <v>10</v>
      </c>
      <c r="T37" s="2">
        <f>原始值!M37+VLOOKUP($H37,怪物强度修正!$A$2:$R$17,COLUMN(T37)-9,FALSE)</f>
        <v>10</v>
      </c>
      <c r="U37" s="2">
        <f>原始值!N37+VLOOKUP($H37,怪物强度修正!$A$2:$R$17,COLUMN(U37)-9,FALSE)</f>
        <v>330</v>
      </c>
      <c r="V37" s="2">
        <v>1</v>
      </c>
      <c r="W37" s="2">
        <f>原始值!P37+VLOOKUP($H37,怪物强度修正!$A$2:$R$17,COLUMN(W37)-9,FALSE)</f>
        <v>13</v>
      </c>
      <c r="X37" s="2">
        <f>原始值!Q37+VLOOKUP($H37,怪物强度修正!$A$2:$R$17,COLUMN(X37)-9,FALSE)</f>
        <v>15</v>
      </c>
      <c r="Y37" s="2">
        <f>原始值!R37+VLOOKUP($H37,怪物强度修正!$A$2:$R$17,COLUMN(Y37)-9,FALSE)</f>
        <v>75</v>
      </c>
      <c r="Z37" s="2">
        <f>原始值!S37+VLOOKUP($H37,怪物强度修正!$A$2:$R$17,COLUMN(Z37)-9,FALSE)</f>
        <v>300</v>
      </c>
      <c r="AA37" s="2">
        <f>原始值!T37+VLOOKUP($H37,怪物强度修正!$A$2:$R$17,COLUMN(AA37)-9,FALSE)</f>
        <v>50</v>
      </c>
    </row>
    <row r="38" spans="1:27" s="2" customFormat="1">
      <c r="A38" s="2" t="str">
        <f t="shared" si="0"/>
        <v>PhyType.NewNpcType_126</v>
      </c>
      <c r="B38" s="2" t="s">
        <v>137</v>
      </c>
      <c r="C38" s="2">
        <v>126</v>
      </c>
      <c r="D38" s="2">
        <v>126</v>
      </c>
      <c r="G38" s="2" t="s">
        <v>44</v>
      </c>
      <c r="H38" s="2" t="s">
        <v>95</v>
      </c>
      <c r="I38" s="2">
        <v>379</v>
      </c>
      <c r="K38" s="2">
        <f>原始值!D38+VLOOKUP($H38,怪物强度修正!$A$2:$R$17,COLUMN(K38)-9,FALSE)</f>
        <v>23</v>
      </c>
      <c r="L38" s="2">
        <f>原始值!E38+VLOOKUP($H38,怪物强度修正!$A$2:$R$17,COLUMN(L38)-9,FALSE)</f>
        <v>29</v>
      </c>
      <c r="M38" s="2">
        <f t="shared" si="1"/>
        <v>23</v>
      </c>
      <c r="N38" s="2">
        <f t="shared" si="2"/>
        <v>29</v>
      </c>
      <c r="O38" s="2">
        <f>原始值!H38+VLOOKUP($H38,怪物强度修正!$A$2:$R$17,COLUMN(O38)-9,FALSE)</f>
        <v>0</v>
      </c>
      <c r="P38" s="2">
        <f>原始值!I38+VLOOKUP($H38,怪物强度修正!$A$2:$R$17,COLUMN(P38)-9,FALSE)</f>
        <v>0</v>
      </c>
      <c r="Q38" s="2">
        <f>原始值!J38+VLOOKUP($H38,怪物强度修正!$A$2:$R$17,COLUMN(Q38)-9,FALSE)</f>
        <v>11</v>
      </c>
      <c r="R38" s="2">
        <f>原始值!K38+VLOOKUP($H38,怪物强度修正!$A$2:$R$17,COLUMN(R38)-9,FALSE)</f>
        <v>11</v>
      </c>
      <c r="S38" s="2">
        <f>原始值!L38+VLOOKUP($H38,怪物强度修正!$A$2:$R$17,COLUMN(S38)-9,FALSE)</f>
        <v>2</v>
      </c>
      <c r="T38" s="2">
        <f>原始值!M38+VLOOKUP($H38,怪物强度修正!$A$2:$R$17,COLUMN(T38)-9,FALSE)</f>
        <v>2</v>
      </c>
      <c r="U38" s="2">
        <f>原始值!N38+VLOOKUP($H38,怪物强度修正!$A$2:$R$17,COLUMN(U38)-9,FALSE)</f>
        <v>310</v>
      </c>
      <c r="V38" s="2">
        <v>1</v>
      </c>
      <c r="W38" s="2">
        <f>原始值!P38+VLOOKUP($H38,怪物强度修正!$A$2:$R$17,COLUMN(W38)-9,FALSE)</f>
        <v>13</v>
      </c>
      <c r="X38" s="2">
        <f>原始值!Q38+VLOOKUP($H38,怪物强度修正!$A$2:$R$17,COLUMN(X38)-9,FALSE)</f>
        <v>15</v>
      </c>
      <c r="Y38" s="2">
        <f>原始值!R38+VLOOKUP($H38,怪物强度修正!$A$2:$R$17,COLUMN(Y38)-9,FALSE)</f>
        <v>75</v>
      </c>
      <c r="Z38" s="2">
        <f>原始值!S38+VLOOKUP($H38,怪物强度修正!$A$2:$R$17,COLUMN(Z38)-9,FALSE)</f>
        <v>300</v>
      </c>
      <c r="AA38" s="2">
        <f>原始值!T38+VLOOKUP($H38,怪物强度修正!$A$2:$R$17,COLUMN(AA38)-9,FALSE)</f>
        <v>50</v>
      </c>
    </row>
    <row r="39" spans="1:27" s="20" customFormat="1">
      <c r="A39" s="20" t="str">
        <f t="shared" si="0"/>
        <v>PhyType.NewNpcType_127</v>
      </c>
      <c r="B39" s="20" t="s">
        <v>137</v>
      </c>
      <c r="C39" s="20">
        <v>127</v>
      </c>
      <c r="D39" s="21">
        <v>127</v>
      </c>
      <c r="E39" s="21"/>
      <c r="F39" s="21"/>
      <c r="G39" s="21" t="s">
        <v>45</v>
      </c>
      <c r="H39" s="20" t="s">
        <v>95</v>
      </c>
      <c r="I39" s="20">
        <v>1599</v>
      </c>
      <c r="K39" s="20">
        <f>原始值!D39+VLOOKUP($H39,怪物强度修正!$A$2:$R$17,COLUMN(K39)-9,FALSE)</f>
        <v>33</v>
      </c>
      <c r="L39" s="20">
        <f>原始值!E39+VLOOKUP($H39,怪物强度修正!$A$2:$R$17,COLUMN(L39)-9,FALSE)</f>
        <v>58</v>
      </c>
      <c r="M39" s="20">
        <f t="shared" si="1"/>
        <v>33</v>
      </c>
      <c r="N39" s="20">
        <f t="shared" si="2"/>
        <v>58</v>
      </c>
      <c r="O39" s="20">
        <f>原始值!H39+VLOOKUP($H39,怪物强度修正!$A$2:$R$17,COLUMN(O39)-9,FALSE)</f>
        <v>0</v>
      </c>
      <c r="P39" s="20">
        <f>原始值!I39+VLOOKUP($H39,怪物强度修正!$A$2:$R$17,COLUMN(P39)-9,FALSE)</f>
        <v>0</v>
      </c>
      <c r="Q39" s="20">
        <f>原始值!J39+VLOOKUP($H39,怪物强度修正!$A$2:$R$17,COLUMN(Q39)-9,FALSE)</f>
        <v>16</v>
      </c>
      <c r="R39" s="20">
        <f>原始值!K39+VLOOKUP($H39,怪物强度修正!$A$2:$R$17,COLUMN(R39)-9,FALSE)</f>
        <v>16</v>
      </c>
      <c r="S39" s="20">
        <f>原始值!L39+VLOOKUP($H39,怪物强度修正!$A$2:$R$17,COLUMN(S39)-9,FALSE)</f>
        <v>17</v>
      </c>
      <c r="T39" s="20">
        <f>原始值!M39+VLOOKUP($H39,怪物强度修正!$A$2:$R$17,COLUMN(T39)-9,FALSE)</f>
        <v>17</v>
      </c>
      <c r="U39" s="20">
        <f>原始值!N39+VLOOKUP($H39,怪物强度修正!$A$2:$R$17,COLUMN(U39)-9,FALSE)</f>
        <v>1000</v>
      </c>
      <c r="V39" s="20">
        <v>1</v>
      </c>
      <c r="W39" s="20">
        <f>原始值!P39+VLOOKUP($H39,怪物强度修正!$A$2:$R$17,COLUMN(W39)-9,FALSE)</f>
        <v>17</v>
      </c>
      <c r="X39" s="20">
        <f>原始值!Q39+VLOOKUP($H39,怪物强度修正!$A$2:$R$17,COLUMN(X39)-9,FALSE)</f>
        <v>25</v>
      </c>
      <c r="Y39" s="20">
        <f>原始值!R39+VLOOKUP($H39,怪物强度修正!$A$2:$R$17,COLUMN(Y39)-9,FALSE)</f>
        <v>75</v>
      </c>
      <c r="Z39" s="20">
        <f>原始值!S39+VLOOKUP($H39,怪物强度修正!$A$2:$R$17,COLUMN(Z39)-9,FALSE)</f>
        <v>300</v>
      </c>
      <c r="AA39" s="20">
        <f>原始值!T39+VLOOKUP($H39,怪物强度修正!$A$2:$R$17,COLUMN(AA39)-9,FALSE)</f>
        <v>50</v>
      </c>
    </row>
    <row r="40" spans="1:27" s="20" customFormat="1">
      <c r="A40" s="20" t="str">
        <f t="shared" si="0"/>
        <v>PhyType.NewNpcType_128</v>
      </c>
      <c r="B40" s="20" t="s">
        <v>137</v>
      </c>
      <c r="C40" s="20">
        <v>128</v>
      </c>
      <c r="D40" s="21">
        <v>128</v>
      </c>
      <c r="E40" s="21"/>
      <c r="F40" s="21"/>
      <c r="G40" s="21" t="s">
        <v>46</v>
      </c>
      <c r="H40" s="21" t="s">
        <v>97</v>
      </c>
      <c r="I40" s="21">
        <v>1999</v>
      </c>
      <c r="J40" s="21"/>
      <c r="K40" s="20">
        <f>原始值!D40+VLOOKUP($H40,怪物强度修正!$A$2:$R$17,COLUMN(K40)-9,FALSE)</f>
        <v>40</v>
      </c>
      <c r="L40" s="20">
        <f>原始值!E40+VLOOKUP($H40,怪物强度修正!$A$2:$R$17,COLUMN(L40)-9,FALSE)</f>
        <v>60</v>
      </c>
      <c r="M40" s="20">
        <f t="shared" si="1"/>
        <v>40</v>
      </c>
      <c r="N40" s="20">
        <f t="shared" si="2"/>
        <v>60</v>
      </c>
      <c r="O40" s="20">
        <f>原始值!H40+VLOOKUP($H40,怪物强度修正!$A$2:$R$17,COLUMN(O40)-9,FALSE)</f>
        <v>0</v>
      </c>
      <c r="P40" s="20">
        <f>原始值!I40+VLOOKUP($H40,怪物强度修正!$A$2:$R$17,COLUMN(P40)-9,FALSE)</f>
        <v>0</v>
      </c>
      <c r="Q40" s="20">
        <f>原始值!J40+VLOOKUP($H40,怪物强度修正!$A$2:$R$17,COLUMN(Q40)-9,FALSE)</f>
        <v>20</v>
      </c>
      <c r="R40" s="20">
        <f>原始值!K40+VLOOKUP($H40,怪物强度修正!$A$2:$R$17,COLUMN(R40)-9,FALSE)</f>
        <v>20</v>
      </c>
      <c r="S40" s="20">
        <f>原始值!L40+VLOOKUP($H40,怪物强度修正!$A$2:$R$17,COLUMN(S40)-9,FALSE)</f>
        <v>20</v>
      </c>
      <c r="T40" s="20">
        <f>原始值!M40+VLOOKUP($H40,怪物强度修正!$A$2:$R$17,COLUMN(T40)-9,FALSE)</f>
        <v>20</v>
      </c>
      <c r="U40" s="20">
        <f>原始值!N40+VLOOKUP($H40,怪物强度修正!$A$2:$R$17,COLUMN(U40)-9,FALSE)</f>
        <v>1500</v>
      </c>
      <c r="V40" s="20">
        <v>1</v>
      </c>
      <c r="W40" s="20">
        <f>原始值!P40+VLOOKUP($H40,怪物强度修正!$A$2:$R$17,COLUMN(W40)-9,FALSE)</f>
        <v>17</v>
      </c>
      <c r="X40" s="20">
        <f>原始值!Q40+VLOOKUP($H40,怪物强度修正!$A$2:$R$17,COLUMN(X40)-9,FALSE)</f>
        <v>25</v>
      </c>
      <c r="Y40" s="20">
        <f>原始值!R40+VLOOKUP($H40,怪物强度修正!$A$2:$R$17,COLUMN(Y40)-9,FALSE)</f>
        <v>75</v>
      </c>
      <c r="Z40" s="20">
        <f>原始值!S40+VLOOKUP($H40,怪物强度修正!$A$2:$R$17,COLUMN(Z40)-9,FALSE)</f>
        <v>300</v>
      </c>
      <c r="AA40" s="20">
        <f>原始值!T40+VLOOKUP($H40,怪物强度修正!$A$2:$R$17,COLUMN(AA40)-9,FALSE)</f>
        <v>50</v>
      </c>
    </row>
    <row r="41" spans="1:27" s="20" customFormat="1">
      <c r="A41" s="20" t="str">
        <f t="shared" si="0"/>
        <v>PhyType.NewNpcType_129</v>
      </c>
      <c r="B41" s="20" t="s">
        <v>137</v>
      </c>
      <c r="C41" s="20">
        <v>129</v>
      </c>
      <c r="D41" s="21">
        <v>129</v>
      </c>
      <c r="E41" s="21"/>
      <c r="F41" s="21"/>
      <c r="G41" s="21" t="s">
        <v>47</v>
      </c>
      <c r="H41" s="21" t="s">
        <v>97</v>
      </c>
      <c r="I41" s="21">
        <v>2499</v>
      </c>
      <c r="J41" s="21"/>
      <c r="K41" s="20">
        <f>原始值!D41+VLOOKUP($H41,怪物强度修正!$A$2:$R$17,COLUMN(K41)-9,FALSE)</f>
        <v>45</v>
      </c>
      <c r="L41" s="20">
        <f>原始值!E41+VLOOKUP($H41,怪物强度修正!$A$2:$R$17,COLUMN(L41)-9,FALSE)</f>
        <v>65</v>
      </c>
      <c r="M41" s="20">
        <f t="shared" si="1"/>
        <v>45</v>
      </c>
      <c r="N41" s="20">
        <f t="shared" si="2"/>
        <v>65</v>
      </c>
      <c r="O41" s="20">
        <f>原始值!H41+VLOOKUP($H41,怪物强度修正!$A$2:$R$17,COLUMN(O41)-9,FALSE)</f>
        <v>0</v>
      </c>
      <c r="P41" s="20">
        <f>原始值!I41+VLOOKUP($H41,怪物强度修正!$A$2:$R$17,COLUMN(P41)-9,FALSE)</f>
        <v>0</v>
      </c>
      <c r="Q41" s="20">
        <f>原始值!J41+VLOOKUP($H41,怪物强度修正!$A$2:$R$17,COLUMN(Q41)-9,FALSE)</f>
        <v>25</v>
      </c>
      <c r="R41" s="20">
        <f>原始值!K41+VLOOKUP($H41,怪物强度修正!$A$2:$R$17,COLUMN(R41)-9,FALSE)</f>
        <v>25</v>
      </c>
      <c r="S41" s="20">
        <f>原始值!L41+VLOOKUP($H41,怪物强度修正!$A$2:$R$17,COLUMN(S41)-9,FALSE)</f>
        <v>25</v>
      </c>
      <c r="T41" s="20">
        <f>原始值!M41+VLOOKUP($H41,怪物强度修正!$A$2:$R$17,COLUMN(T41)-9,FALSE)</f>
        <v>25</v>
      </c>
      <c r="U41" s="20">
        <f>原始值!N41+VLOOKUP($H41,怪物强度修正!$A$2:$R$17,COLUMN(U41)-9,FALSE)</f>
        <v>2000</v>
      </c>
      <c r="V41" s="20">
        <v>1</v>
      </c>
      <c r="W41" s="20">
        <f>原始值!P41+VLOOKUP($H41,怪物强度修正!$A$2:$R$17,COLUMN(W41)-9,FALSE)</f>
        <v>17</v>
      </c>
      <c r="X41" s="20">
        <f>原始值!Q41+VLOOKUP($H41,怪物强度修正!$A$2:$R$17,COLUMN(X41)-9,FALSE)</f>
        <v>25</v>
      </c>
      <c r="Y41" s="20">
        <f>原始值!R41+VLOOKUP($H41,怪物强度修正!$A$2:$R$17,COLUMN(Y41)-9,FALSE)</f>
        <v>75</v>
      </c>
      <c r="Z41" s="20">
        <f>原始值!S41+VLOOKUP($H41,怪物强度修正!$A$2:$R$17,COLUMN(Z41)-9,FALSE)</f>
        <v>300</v>
      </c>
      <c r="AA41" s="20">
        <f>原始值!T41+VLOOKUP($H41,怪物强度修正!$A$2:$R$17,COLUMN(AA41)-9,FALSE)</f>
        <v>50</v>
      </c>
    </row>
    <row r="42" spans="1:27" s="2" customFormat="1">
      <c r="A42" s="2" t="str">
        <f t="shared" si="0"/>
        <v>PhyType.NewNpcType_130</v>
      </c>
      <c r="B42" s="2" t="s">
        <v>137</v>
      </c>
      <c r="C42" s="2">
        <v>130</v>
      </c>
      <c r="D42" s="2">
        <v>130</v>
      </c>
      <c r="G42" s="2" t="s">
        <v>112</v>
      </c>
      <c r="H42" s="2" t="s">
        <v>89</v>
      </c>
      <c r="I42" s="2">
        <v>74</v>
      </c>
      <c r="K42" s="2">
        <f>原始值!D42+VLOOKUP($H42,怪物强度修正!$A$2:$R$17,COLUMN(K42)-9,FALSE)</f>
        <v>5</v>
      </c>
      <c r="L42" s="2">
        <f>原始值!E42+VLOOKUP($H42,怪物强度修正!$A$2:$R$17,COLUMN(L42)-9,FALSE)</f>
        <v>12</v>
      </c>
      <c r="M42" s="2">
        <f t="shared" si="1"/>
        <v>5</v>
      </c>
      <c r="N42" s="2">
        <f t="shared" si="2"/>
        <v>12</v>
      </c>
      <c r="O42" s="2">
        <f>原始值!H42+VLOOKUP($H42,怪物强度修正!$A$2:$R$17,COLUMN(O42)-9,FALSE)</f>
        <v>0</v>
      </c>
      <c r="P42" s="2">
        <f>原始值!I42+VLOOKUP($H42,怪物强度修正!$A$2:$R$17,COLUMN(P42)-9,FALSE)</f>
        <v>0</v>
      </c>
      <c r="Q42" s="2">
        <f>原始值!J42+VLOOKUP($H42,怪物强度修正!$A$2:$R$17,COLUMN(Q42)-9,FALSE)</f>
        <v>2</v>
      </c>
      <c r="R42" s="2">
        <f>原始值!K42+VLOOKUP($H42,怪物强度修正!$A$2:$R$17,COLUMN(R42)-9,FALSE)</f>
        <v>2</v>
      </c>
      <c r="S42" s="2">
        <f>原始值!L42+VLOOKUP($H42,怪物强度修正!$A$2:$R$17,COLUMN(S42)-9,FALSE)</f>
        <v>1</v>
      </c>
      <c r="T42" s="2">
        <f>原始值!M42+VLOOKUP($H42,怪物强度修正!$A$2:$R$17,COLUMN(T42)-9,FALSE)</f>
        <v>1</v>
      </c>
      <c r="U42" s="2">
        <f>原始值!N42+VLOOKUP($H42,怪物强度修正!$A$2:$R$17,COLUMN(U42)-9,FALSE)</f>
        <v>77</v>
      </c>
      <c r="V42" s="2">
        <v>1</v>
      </c>
      <c r="W42" s="2">
        <f>原始值!P42+VLOOKUP($H42,怪物强度修正!$A$2:$R$17,COLUMN(W42)-9,FALSE)</f>
        <v>5</v>
      </c>
      <c r="X42" s="2">
        <f>原始值!Q42+VLOOKUP($H42,怪物强度修正!$A$2:$R$17,COLUMN(X42)-9,FALSE)</f>
        <v>10</v>
      </c>
      <c r="Y42" s="2">
        <f>原始值!R42+VLOOKUP($H42,怪物强度修正!$A$2:$R$17,COLUMN(Y42)-9,FALSE)</f>
        <v>75</v>
      </c>
      <c r="Z42" s="2">
        <f>原始值!S42+VLOOKUP($H42,怪物强度修正!$A$2:$R$17,COLUMN(Z42)-9,FALSE)</f>
        <v>300</v>
      </c>
      <c r="AA42" s="2">
        <f>原始值!T42+VLOOKUP($H42,怪物强度修正!$A$2:$R$17,COLUMN(AA42)-9,FALSE)</f>
        <v>50</v>
      </c>
    </row>
    <row r="43" spans="1:27" s="2" customFormat="1">
      <c r="A43" s="2" t="str">
        <f t="shared" si="0"/>
        <v>PhyType.NewNpcType_131</v>
      </c>
      <c r="B43" s="2" t="s">
        <v>137</v>
      </c>
      <c r="C43" s="2">
        <v>131</v>
      </c>
      <c r="D43" s="2">
        <v>131</v>
      </c>
      <c r="G43" s="2" t="s">
        <v>111</v>
      </c>
      <c r="H43" s="2" t="s">
        <v>89</v>
      </c>
      <c r="I43" s="2">
        <v>74</v>
      </c>
      <c r="K43" s="2">
        <f>原始值!D43+VLOOKUP($H43,怪物强度修正!$A$2:$R$17,COLUMN(K43)-9,FALSE)</f>
        <v>5</v>
      </c>
      <c r="L43" s="2">
        <f>原始值!E43+VLOOKUP($H43,怪物强度修正!$A$2:$R$17,COLUMN(L43)-9,FALSE)</f>
        <v>15</v>
      </c>
      <c r="M43" s="2">
        <f t="shared" si="1"/>
        <v>5</v>
      </c>
      <c r="N43" s="2">
        <f t="shared" si="2"/>
        <v>15</v>
      </c>
      <c r="O43" s="2">
        <f>原始值!H43+VLOOKUP($H43,怪物强度修正!$A$2:$R$17,COLUMN(O43)-9,FALSE)</f>
        <v>0</v>
      </c>
      <c r="P43" s="2">
        <f>原始值!I43+VLOOKUP($H43,怪物强度修正!$A$2:$R$17,COLUMN(P43)-9,FALSE)</f>
        <v>0</v>
      </c>
      <c r="Q43" s="2">
        <f>原始值!J43+VLOOKUP($H43,怪物强度修正!$A$2:$R$17,COLUMN(Q43)-9,FALSE)</f>
        <v>2</v>
      </c>
      <c r="R43" s="2">
        <f>原始值!K43+VLOOKUP($H43,怪物强度修正!$A$2:$R$17,COLUMN(R43)-9,FALSE)</f>
        <v>2</v>
      </c>
      <c r="S43" s="2">
        <f>原始值!L43+VLOOKUP($H43,怪物强度修正!$A$2:$R$17,COLUMN(S43)-9,FALSE)</f>
        <v>1</v>
      </c>
      <c r="T43" s="2">
        <f>原始值!M43+VLOOKUP($H43,怪物强度修正!$A$2:$R$17,COLUMN(T43)-9,FALSE)</f>
        <v>1</v>
      </c>
      <c r="U43" s="2">
        <f>原始值!N43+VLOOKUP($H43,怪物强度修正!$A$2:$R$17,COLUMN(U43)-9,FALSE)</f>
        <v>77</v>
      </c>
      <c r="V43" s="2">
        <v>1</v>
      </c>
      <c r="W43" s="2">
        <f>原始值!P43+VLOOKUP($H43,怪物强度修正!$A$2:$R$17,COLUMN(W43)-9,FALSE)</f>
        <v>5</v>
      </c>
      <c r="X43" s="2">
        <f>原始值!Q43+VLOOKUP($H43,怪物强度修正!$A$2:$R$17,COLUMN(X43)-9,FALSE)</f>
        <v>10</v>
      </c>
      <c r="Y43" s="2">
        <f>原始值!R43+VLOOKUP($H43,怪物强度修正!$A$2:$R$17,COLUMN(Y43)-9,FALSE)</f>
        <v>75</v>
      </c>
      <c r="Z43" s="2">
        <f>原始值!S43+VLOOKUP($H43,怪物强度修正!$A$2:$R$17,COLUMN(Z43)-9,FALSE)</f>
        <v>300</v>
      </c>
      <c r="AA43" s="2">
        <f>原始值!T43+VLOOKUP($H43,怪物强度修正!$A$2:$R$17,COLUMN(AA43)-9,FALSE)</f>
        <v>50</v>
      </c>
    </row>
    <row r="44" spans="1:27" s="2" customFormat="1">
      <c r="A44" s="2" t="str">
        <f t="shared" si="0"/>
        <v>PhyType.NewNpcType_132</v>
      </c>
      <c r="B44" s="2" t="s">
        <v>137</v>
      </c>
      <c r="C44" s="2">
        <v>132</v>
      </c>
      <c r="D44" s="2">
        <v>132</v>
      </c>
      <c r="G44" s="2" t="s">
        <v>113</v>
      </c>
      <c r="H44" s="2" t="s">
        <v>89</v>
      </c>
      <c r="I44" s="2">
        <v>36</v>
      </c>
      <c r="K44" s="2">
        <f>原始值!D44+VLOOKUP($H44,怪物强度修正!$A$2:$R$17,COLUMN(K44)-9,FALSE)</f>
        <v>5</v>
      </c>
      <c r="L44" s="2">
        <f>原始值!E44+VLOOKUP($H44,怪物强度修正!$A$2:$R$17,COLUMN(L44)-9,FALSE)</f>
        <v>12</v>
      </c>
      <c r="M44" s="2">
        <f t="shared" si="1"/>
        <v>5</v>
      </c>
      <c r="N44" s="2">
        <f t="shared" si="2"/>
        <v>12</v>
      </c>
      <c r="O44" s="2">
        <f>原始值!H44+VLOOKUP($H44,怪物强度修正!$A$2:$R$17,COLUMN(O44)-9,FALSE)</f>
        <v>0</v>
      </c>
      <c r="P44" s="2">
        <f>原始值!I44+VLOOKUP($H44,怪物强度修正!$A$2:$R$17,COLUMN(P44)-9,FALSE)</f>
        <v>0</v>
      </c>
      <c r="Q44" s="2">
        <f>原始值!J44+VLOOKUP($H44,怪物强度修正!$A$2:$R$17,COLUMN(Q44)-9,FALSE)</f>
        <v>2</v>
      </c>
      <c r="R44" s="2">
        <f>原始值!K44+VLOOKUP($H44,怪物强度修正!$A$2:$R$17,COLUMN(R44)-9,FALSE)</f>
        <v>2</v>
      </c>
      <c r="S44" s="2">
        <f>原始值!L44+VLOOKUP($H44,怪物强度修正!$A$2:$R$17,COLUMN(S44)-9,FALSE)</f>
        <v>1</v>
      </c>
      <c r="T44" s="2">
        <f>原始值!M44+VLOOKUP($H44,怪物强度修正!$A$2:$R$17,COLUMN(T44)-9,FALSE)</f>
        <v>1</v>
      </c>
      <c r="U44" s="2">
        <f>原始值!N44+VLOOKUP($H44,怪物强度修正!$A$2:$R$17,COLUMN(U44)-9,FALSE)</f>
        <v>38</v>
      </c>
      <c r="V44" s="2">
        <v>1</v>
      </c>
      <c r="W44" s="2">
        <f>原始值!P44+VLOOKUP($H44,怪物强度修正!$A$2:$R$17,COLUMN(W44)-9,FALSE)</f>
        <v>5</v>
      </c>
      <c r="X44" s="2">
        <f>原始值!Q44+VLOOKUP($H44,怪物强度修正!$A$2:$R$17,COLUMN(X44)-9,FALSE)</f>
        <v>10</v>
      </c>
      <c r="Y44" s="2">
        <f>原始值!R44+VLOOKUP($H44,怪物强度修正!$A$2:$R$17,COLUMN(Y44)-9,FALSE)</f>
        <v>75</v>
      </c>
      <c r="Z44" s="2">
        <f>原始值!S44+VLOOKUP($H44,怪物强度修正!$A$2:$R$17,COLUMN(Z44)-9,FALSE)</f>
        <v>300</v>
      </c>
      <c r="AA44" s="2">
        <f>原始值!T44+VLOOKUP($H44,怪物强度修正!$A$2:$R$17,COLUMN(AA44)-9,FALSE)</f>
        <v>50</v>
      </c>
    </row>
    <row r="45" spans="1:27" s="2" customFormat="1">
      <c r="A45" s="2" t="str">
        <f t="shared" si="0"/>
        <v>PhyType.NewNpcType_133</v>
      </c>
      <c r="B45" s="2" t="s">
        <v>137</v>
      </c>
      <c r="C45" s="2">
        <v>133</v>
      </c>
      <c r="D45" s="2">
        <v>133</v>
      </c>
      <c r="G45" s="2" t="s">
        <v>114</v>
      </c>
      <c r="H45" s="2" t="s">
        <v>89</v>
      </c>
      <c r="I45" s="2">
        <v>36</v>
      </c>
      <c r="K45" s="2">
        <f>原始值!D45+VLOOKUP($H45,怪物强度修正!$A$2:$R$17,COLUMN(K45)-9,FALSE)</f>
        <v>5</v>
      </c>
      <c r="L45" s="2">
        <f>原始值!E45+VLOOKUP($H45,怪物强度修正!$A$2:$R$17,COLUMN(L45)-9,FALSE)</f>
        <v>15</v>
      </c>
      <c r="M45" s="2">
        <f t="shared" si="1"/>
        <v>5</v>
      </c>
      <c r="N45" s="2">
        <f t="shared" si="2"/>
        <v>15</v>
      </c>
      <c r="O45" s="2">
        <f>原始值!H45+VLOOKUP($H45,怪物强度修正!$A$2:$R$17,COLUMN(O45)-9,FALSE)</f>
        <v>0</v>
      </c>
      <c r="P45" s="2">
        <f>原始值!I45+VLOOKUP($H45,怪物强度修正!$A$2:$R$17,COLUMN(P45)-9,FALSE)</f>
        <v>0</v>
      </c>
      <c r="Q45" s="2">
        <f>原始值!J45+VLOOKUP($H45,怪物强度修正!$A$2:$R$17,COLUMN(Q45)-9,FALSE)</f>
        <v>2</v>
      </c>
      <c r="R45" s="2">
        <f>原始值!K45+VLOOKUP($H45,怪物强度修正!$A$2:$R$17,COLUMN(R45)-9,FALSE)</f>
        <v>2</v>
      </c>
      <c r="S45" s="2">
        <f>原始值!L45+VLOOKUP($H45,怪物强度修正!$A$2:$R$17,COLUMN(S45)-9,FALSE)</f>
        <v>1</v>
      </c>
      <c r="T45" s="2">
        <f>原始值!M45+VLOOKUP($H45,怪物强度修正!$A$2:$R$17,COLUMN(T45)-9,FALSE)</f>
        <v>1</v>
      </c>
      <c r="U45" s="2">
        <f>原始值!N45+VLOOKUP($H45,怪物强度修正!$A$2:$R$17,COLUMN(U45)-9,FALSE)</f>
        <v>38</v>
      </c>
      <c r="V45" s="2">
        <v>1</v>
      </c>
      <c r="W45" s="2">
        <f>原始值!P45+VLOOKUP($H45,怪物强度修正!$A$2:$R$17,COLUMN(W45)-9,FALSE)</f>
        <v>5</v>
      </c>
      <c r="X45" s="2">
        <f>原始值!Q45+VLOOKUP($H45,怪物强度修正!$A$2:$R$17,COLUMN(X45)-9,FALSE)</f>
        <v>10</v>
      </c>
      <c r="Y45" s="2">
        <f>原始值!R45+VLOOKUP($H45,怪物强度修正!$A$2:$R$17,COLUMN(Y45)-9,FALSE)</f>
        <v>75</v>
      </c>
      <c r="Z45" s="2">
        <f>原始值!S45+VLOOKUP($H45,怪物强度修正!$A$2:$R$17,COLUMN(Z45)-9,FALSE)</f>
        <v>300</v>
      </c>
      <c r="AA45" s="2">
        <f>原始值!T45+VLOOKUP($H45,怪物强度修正!$A$2:$R$17,COLUMN(AA45)-9,FALSE)</f>
        <v>50</v>
      </c>
    </row>
    <row r="46" spans="1:27" s="2" customFormat="1">
      <c r="A46" s="2" t="str">
        <f t="shared" si="0"/>
        <v>PhyType.NewNpcType_134</v>
      </c>
      <c r="B46" s="2" t="s">
        <v>137</v>
      </c>
      <c r="C46" s="2">
        <v>134</v>
      </c>
      <c r="D46" s="2">
        <v>134</v>
      </c>
      <c r="G46" s="2" t="s">
        <v>123</v>
      </c>
      <c r="H46" s="2" t="s">
        <v>129</v>
      </c>
      <c r="I46" s="2">
        <v>349</v>
      </c>
      <c r="K46" s="2">
        <f>原始值!D46+VLOOKUP($H46,怪物强度修正!$A$2:$R$17,COLUMN(K46)-9,FALSE)</f>
        <v>16</v>
      </c>
      <c r="L46" s="2">
        <f>原始值!E46+VLOOKUP($H46,怪物强度修正!$A$2:$R$17,COLUMN(L46)-9,FALSE)</f>
        <v>27</v>
      </c>
      <c r="M46" s="2">
        <f t="shared" si="1"/>
        <v>16</v>
      </c>
      <c r="N46" s="2">
        <f t="shared" si="2"/>
        <v>27</v>
      </c>
      <c r="O46" s="2">
        <f>原始值!H46+VLOOKUP($H46,怪物强度修正!$A$2:$R$17,COLUMN(O46)-9,FALSE)</f>
        <v>0</v>
      </c>
      <c r="P46" s="2">
        <f>原始值!I46+VLOOKUP($H46,怪物强度修正!$A$2:$R$17,COLUMN(P46)-9,FALSE)</f>
        <v>0</v>
      </c>
      <c r="Q46" s="2">
        <f>原始值!J46+VLOOKUP($H46,怪物强度修正!$A$2:$R$17,COLUMN(Q46)-9,FALSE)</f>
        <v>4</v>
      </c>
      <c r="R46" s="2">
        <f>原始值!K46+VLOOKUP($H46,怪物强度修正!$A$2:$R$17,COLUMN(R46)-9,FALSE)</f>
        <v>4</v>
      </c>
      <c r="S46" s="2">
        <f>原始值!L46+VLOOKUP($H46,怪物强度修正!$A$2:$R$17,COLUMN(S46)-9,FALSE)</f>
        <v>7</v>
      </c>
      <c r="T46" s="2">
        <f>原始值!M46+VLOOKUP($H46,怪物强度修正!$A$2:$R$17,COLUMN(T46)-9,FALSE)</f>
        <v>7</v>
      </c>
      <c r="U46" s="2">
        <f>原始值!N46+VLOOKUP($H46,怪物强度修正!$A$2:$R$17,COLUMN(U46)-9,FALSE)</f>
        <v>385</v>
      </c>
      <c r="V46" s="2">
        <v>1</v>
      </c>
      <c r="W46" s="2">
        <f>原始值!P46+VLOOKUP($H46,怪物强度修正!$A$2:$R$17,COLUMN(W46)-9,FALSE)</f>
        <v>12</v>
      </c>
      <c r="X46" s="2">
        <f>原始值!Q46+VLOOKUP($H46,怪物强度修正!$A$2:$R$17,COLUMN(X46)-9,FALSE)</f>
        <v>15</v>
      </c>
      <c r="Y46" s="2">
        <f>原始值!R46+VLOOKUP($H46,怪物强度修正!$A$2:$R$17,COLUMN(Y46)-9,FALSE)</f>
        <v>75</v>
      </c>
      <c r="Z46" s="2">
        <f>原始值!S46+VLOOKUP($H46,怪物强度修正!$A$2:$R$17,COLUMN(Z46)-9,FALSE)</f>
        <v>300</v>
      </c>
      <c r="AA46" s="2">
        <f>原始值!T46+VLOOKUP($H46,怪物强度修正!$A$2:$R$17,COLUMN(AA46)-9,FALSE)</f>
        <v>50</v>
      </c>
    </row>
    <row r="47" spans="1:27" s="2" customFormat="1">
      <c r="A47" s="2" t="str">
        <f t="shared" si="0"/>
        <v>PhyType.NewNpcType_135</v>
      </c>
      <c r="B47" s="2" t="s">
        <v>137</v>
      </c>
      <c r="C47" s="2">
        <v>135</v>
      </c>
      <c r="D47" s="2">
        <v>135</v>
      </c>
      <c r="G47" s="2" t="s">
        <v>125</v>
      </c>
      <c r="H47" s="2" t="s">
        <v>129</v>
      </c>
      <c r="I47" s="2">
        <v>369</v>
      </c>
      <c r="K47" s="2">
        <f>原始值!D47+VLOOKUP($H47,怪物强度修正!$A$2:$R$17,COLUMN(K47)-9,FALSE)</f>
        <v>16</v>
      </c>
      <c r="L47" s="2">
        <f>原始值!E47+VLOOKUP($H47,怪物强度修正!$A$2:$R$17,COLUMN(L47)-9,FALSE)</f>
        <v>22</v>
      </c>
      <c r="M47" s="2">
        <f t="shared" si="1"/>
        <v>16</v>
      </c>
      <c r="N47" s="2">
        <f t="shared" si="2"/>
        <v>22</v>
      </c>
      <c r="O47" s="2">
        <f>原始值!H47+VLOOKUP($H47,怪物强度修正!$A$2:$R$17,COLUMN(O47)-9,FALSE)</f>
        <v>0</v>
      </c>
      <c r="P47" s="2">
        <f>原始值!I47+VLOOKUP($H47,怪物强度修正!$A$2:$R$17,COLUMN(P47)-9,FALSE)</f>
        <v>0</v>
      </c>
      <c r="Q47" s="2">
        <f>原始值!J47+VLOOKUP($H47,怪物强度修正!$A$2:$R$17,COLUMN(Q47)-9,FALSE)</f>
        <v>11</v>
      </c>
      <c r="R47" s="2">
        <f>原始值!K47+VLOOKUP($H47,怪物强度修正!$A$2:$R$17,COLUMN(R47)-9,FALSE)</f>
        <v>11</v>
      </c>
      <c r="S47" s="2">
        <f>原始值!L47+VLOOKUP($H47,怪物强度修正!$A$2:$R$17,COLUMN(S47)-9,FALSE)</f>
        <v>12</v>
      </c>
      <c r="T47" s="2">
        <f>原始值!M47+VLOOKUP($H47,怪物强度修正!$A$2:$R$17,COLUMN(T47)-9,FALSE)</f>
        <v>12</v>
      </c>
      <c r="U47" s="2">
        <f>原始值!N47+VLOOKUP($H47,怪物强度修正!$A$2:$R$17,COLUMN(U47)-9,FALSE)</f>
        <v>385</v>
      </c>
      <c r="V47" s="2">
        <v>1</v>
      </c>
      <c r="W47" s="2">
        <f>原始值!P47+VLOOKUP($H47,怪物强度修正!$A$2:$R$17,COLUMN(W47)-9,FALSE)</f>
        <v>15</v>
      </c>
      <c r="X47" s="2">
        <f>原始值!Q47+VLOOKUP($H47,怪物强度修正!$A$2:$R$17,COLUMN(X47)-9,FALSE)</f>
        <v>15</v>
      </c>
      <c r="Y47" s="2">
        <f>原始值!R47+VLOOKUP($H47,怪物强度修正!$A$2:$R$17,COLUMN(Y47)-9,FALSE)</f>
        <v>75</v>
      </c>
      <c r="Z47" s="2">
        <f>原始值!S47+VLOOKUP($H47,怪物强度修正!$A$2:$R$17,COLUMN(Z47)-9,FALSE)</f>
        <v>300</v>
      </c>
      <c r="AA47" s="2">
        <f>原始值!T47+VLOOKUP($H47,怪物强度修正!$A$2:$R$17,COLUMN(AA47)-9,FALSE)</f>
        <v>50</v>
      </c>
    </row>
    <row r="48" spans="1:27" s="2" customFormat="1">
      <c r="A48" s="2" t="str">
        <f t="shared" si="0"/>
        <v>PhyType.NewNpcType_136</v>
      </c>
      <c r="B48" s="2" t="s">
        <v>137</v>
      </c>
      <c r="C48" s="2">
        <v>136</v>
      </c>
      <c r="D48" s="2">
        <v>136</v>
      </c>
      <c r="G48" s="2" t="s">
        <v>124</v>
      </c>
      <c r="H48" s="2" t="s">
        <v>129</v>
      </c>
      <c r="I48" s="2">
        <v>449</v>
      </c>
      <c r="K48" s="2">
        <f>原始值!D48+VLOOKUP($H48,怪物强度修正!$A$2:$R$17,COLUMN(K48)-9,FALSE)</f>
        <v>24</v>
      </c>
      <c r="L48" s="2">
        <f>原始值!E48+VLOOKUP($H48,怪物强度修正!$A$2:$R$17,COLUMN(L48)-9,FALSE)</f>
        <v>36</v>
      </c>
      <c r="M48" s="2">
        <f t="shared" si="1"/>
        <v>24</v>
      </c>
      <c r="N48" s="2">
        <f t="shared" si="2"/>
        <v>36</v>
      </c>
      <c r="O48" s="2">
        <f>原始值!H48+VLOOKUP($H48,怪物强度修正!$A$2:$R$17,COLUMN(O48)-9,FALSE)</f>
        <v>0</v>
      </c>
      <c r="P48" s="2">
        <f>原始值!I48+VLOOKUP($H48,怪物强度修正!$A$2:$R$17,COLUMN(P48)-9,FALSE)</f>
        <v>0</v>
      </c>
      <c r="Q48" s="2">
        <f>原始值!J48+VLOOKUP($H48,怪物强度修正!$A$2:$R$17,COLUMN(Q48)-9,FALSE)</f>
        <v>13</v>
      </c>
      <c r="R48" s="2">
        <f>原始值!K48+VLOOKUP($H48,怪物强度修正!$A$2:$R$17,COLUMN(R48)-9,FALSE)</f>
        <v>13</v>
      </c>
      <c r="S48" s="2">
        <f>原始值!L48+VLOOKUP($H48,怪物强度修正!$A$2:$R$17,COLUMN(S48)-9,FALSE)</f>
        <v>14</v>
      </c>
      <c r="T48" s="2">
        <f>原始值!M48+VLOOKUP($H48,怪物强度修正!$A$2:$R$17,COLUMN(T48)-9,FALSE)</f>
        <v>14</v>
      </c>
      <c r="U48" s="2">
        <f>原始值!N48+VLOOKUP($H48,怪物强度修正!$A$2:$R$17,COLUMN(U48)-9,FALSE)</f>
        <v>495</v>
      </c>
      <c r="V48" s="2">
        <v>1</v>
      </c>
      <c r="W48" s="2">
        <f>原始值!P48+VLOOKUP($H48,怪物强度修正!$A$2:$R$17,COLUMN(W48)-9,FALSE)</f>
        <v>15</v>
      </c>
      <c r="X48" s="2">
        <f>原始值!Q48+VLOOKUP($H48,怪物强度修正!$A$2:$R$17,COLUMN(X48)-9,FALSE)</f>
        <v>17</v>
      </c>
      <c r="Y48" s="2">
        <f>原始值!R48+VLOOKUP($H48,怪物强度修正!$A$2:$R$17,COLUMN(Y48)-9,FALSE)</f>
        <v>75</v>
      </c>
      <c r="Z48" s="2">
        <f>原始值!S48+VLOOKUP($H48,怪物强度修正!$A$2:$R$17,COLUMN(Z48)-9,FALSE)</f>
        <v>300</v>
      </c>
      <c r="AA48" s="2">
        <f>原始值!T48+VLOOKUP($H48,怪物强度修正!$A$2:$R$17,COLUMN(AA48)-9,FALSE)</f>
        <v>50</v>
      </c>
    </row>
    <row r="49" spans="1:27" s="2" customFormat="1">
      <c r="A49" s="2" t="str">
        <f t="shared" si="0"/>
        <v>PhyType.NewNpcType_137</v>
      </c>
      <c r="B49" s="2" t="s">
        <v>137</v>
      </c>
      <c r="C49" s="2">
        <v>137</v>
      </c>
      <c r="D49" s="2">
        <v>137</v>
      </c>
      <c r="G49" s="2" t="s">
        <v>126</v>
      </c>
      <c r="H49" s="2" t="s">
        <v>129</v>
      </c>
      <c r="I49" s="2">
        <v>479</v>
      </c>
      <c r="K49" s="2">
        <f>原始值!D49+VLOOKUP($H49,怪物强度修正!$A$2:$R$17,COLUMN(K49)-9,FALSE)</f>
        <v>26</v>
      </c>
      <c r="L49" s="2">
        <f>原始值!E49+VLOOKUP($H49,怪物强度修正!$A$2:$R$17,COLUMN(L49)-9,FALSE)</f>
        <v>38</v>
      </c>
      <c r="M49" s="2">
        <f t="shared" si="1"/>
        <v>26</v>
      </c>
      <c r="N49" s="2">
        <f t="shared" si="2"/>
        <v>38</v>
      </c>
      <c r="O49" s="2">
        <f>原始值!H49+VLOOKUP($H49,怪物强度修正!$A$2:$R$17,COLUMN(O49)-9,FALSE)</f>
        <v>0</v>
      </c>
      <c r="P49" s="2">
        <f>原始值!I49+VLOOKUP($H49,怪物强度修正!$A$2:$R$17,COLUMN(P49)-9,FALSE)</f>
        <v>0</v>
      </c>
      <c r="Q49" s="2">
        <f>原始值!J49+VLOOKUP($H49,怪物强度修正!$A$2:$R$17,COLUMN(Q49)-9,FALSE)</f>
        <v>16</v>
      </c>
      <c r="R49" s="2">
        <f>原始值!K49+VLOOKUP($H49,怪物强度修正!$A$2:$R$17,COLUMN(R49)-9,FALSE)</f>
        <v>16</v>
      </c>
      <c r="S49" s="2">
        <f>原始值!L49+VLOOKUP($H49,怪物强度修正!$A$2:$R$17,COLUMN(S49)-9,FALSE)</f>
        <v>17</v>
      </c>
      <c r="T49" s="2">
        <f>原始值!M49+VLOOKUP($H49,怪物强度修正!$A$2:$R$17,COLUMN(T49)-9,FALSE)</f>
        <v>17</v>
      </c>
      <c r="U49" s="2">
        <f>原始值!N49+VLOOKUP($H49,怪物强度修正!$A$2:$R$17,COLUMN(U49)-9,FALSE)</f>
        <v>495</v>
      </c>
      <c r="V49" s="2">
        <v>1</v>
      </c>
      <c r="W49" s="2">
        <f>原始值!P49+VLOOKUP($H49,怪物强度修正!$A$2:$R$17,COLUMN(W49)-9,FALSE)</f>
        <v>15</v>
      </c>
      <c r="X49" s="2">
        <f>原始值!Q49+VLOOKUP($H49,怪物强度修正!$A$2:$R$17,COLUMN(X49)-9,FALSE)</f>
        <v>17</v>
      </c>
      <c r="Y49" s="2">
        <f>原始值!R49+VLOOKUP($H49,怪物强度修正!$A$2:$R$17,COLUMN(Y49)-9,FALSE)</f>
        <v>75</v>
      </c>
      <c r="Z49" s="2">
        <f>原始值!S49+VLOOKUP($H49,怪物强度修正!$A$2:$R$17,COLUMN(Z49)-9,FALSE)</f>
        <v>300</v>
      </c>
      <c r="AA49" s="2">
        <f>原始值!T49+VLOOKUP($H49,怪物强度修正!$A$2:$R$17,COLUMN(AA49)-9,FALSE)</f>
        <v>50</v>
      </c>
    </row>
    <row r="50" spans="1:27" s="2" customFormat="1">
      <c r="A50" s="2" t="str">
        <f t="shared" ref="A50:A52" si="4">"PhyType.NewNpcType_"&amp;D50</f>
        <v>PhyType.NewNpcType_141</v>
      </c>
      <c r="B50" s="2" t="s">
        <v>137</v>
      </c>
      <c r="C50" s="2">
        <v>141</v>
      </c>
      <c r="D50" s="2">
        <v>141</v>
      </c>
      <c r="G50" s="2" t="s">
        <v>206</v>
      </c>
      <c r="H50" s="2" t="s">
        <v>171</v>
      </c>
      <c r="I50" s="2">
        <v>299</v>
      </c>
      <c r="K50" s="2">
        <f>原始值!D50+VLOOKUP($H50,怪物强度修正!$A$2:$R$17,COLUMN(K50)-9,FALSE)</f>
        <v>4</v>
      </c>
      <c r="L50" s="2">
        <f>原始值!E50+VLOOKUP($H50,怪物强度修正!$A$2:$R$17,COLUMN(L50)-9,FALSE)</f>
        <v>4</v>
      </c>
      <c r="M50" s="2">
        <f t="shared" si="1"/>
        <v>4</v>
      </c>
      <c r="N50" s="2">
        <f t="shared" si="2"/>
        <v>4</v>
      </c>
      <c r="O50" s="2">
        <f>原始值!H50+VLOOKUP($H50,怪物强度修正!$A$2:$R$17,COLUMN(O50)-9,FALSE)</f>
        <v>0</v>
      </c>
      <c r="P50" s="2">
        <f>原始值!I50+VLOOKUP($H50,怪物强度修正!$A$2:$R$17,COLUMN(P50)-9,FALSE)</f>
        <v>0</v>
      </c>
      <c r="Q50" s="2">
        <f>原始值!J50+VLOOKUP($H50,怪物强度修正!$A$2:$R$17,COLUMN(Q50)-9,FALSE)</f>
        <v>1</v>
      </c>
      <c r="R50" s="2">
        <f>原始值!K50+VLOOKUP($H50,怪物强度修正!$A$2:$R$17,COLUMN(R50)-9,FALSE)</f>
        <v>1</v>
      </c>
      <c r="S50" s="2">
        <f>原始值!L50+VLOOKUP($H50,怪物强度修正!$A$2:$R$17,COLUMN(S50)-9,FALSE)</f>
        <v>8</v>
      </c>
      <c r="T50" s="2">
        <f>原始值!M50+VLOOKUP($H50,怪物强度修正!$A$2:$R$17,COLUMN(T50)-9,FALSE)</f>
        <v>8</v>
      </c>
      <c r="U50" s="2">
        <f>原始值!N50+VLOOKUP($H50,怪物强度修正!$A$2:$R$17,COLUMN(U50)-9,FALSE)</f>
        <v>200</v>
      </c>
      <c r="V50" s="2">
        <v>1</v>
      </c>
      <c r="W50" s="2">
        <f>原始值!P50+VLOOKUP($H50,怪物强度修正!$A$2:$R$17,COLUMN(W50)-9,FALSE)</f>
        <v>1</v>
      </c>
      <c r="X50" s="2">
        <f>原始值!Q50+VLOOKUP($H50,怪物强度修正!$A$2:$R$17,COLUMN(X50)-9,FALSE)</f>
        <v>1</v>
      </c>
      <c r="Y50" s="2">
        <f>原始值!R50+VLOOKUP($H50,怪物强度修正!$A$2:$R$17,COLUMN(Y50)-9,FALSE)</f>
        <v>75</v>
      </c>
      <c r="Z50" s="2">
        <f>原始值!S50+VLOOKUP($H50,怪物强度修正!$A$2:$R$17,COLUMN(Z50)-9,FALSE)</f>
        <v>300</v>
      </c>
      <c r="AA50" s="2">
        <f>原始值!T50+VLOOKUP($H50,怪物强度修正!$A$2:$R$17,COLUMN(AA50)-9,FALSE)</f>
        <v>50</v>
      </c>
    </row>
    <row r="51" spans="1:27" s="2" customFormat="1">
      <c r="A51" s="2" t="str">
        <f t="shared" si="4"/>
        <v>PhyType.NewNpcType_139</v>
      </c>
      <c r="B51" s="2" t="s">
        <v>137</v>
      </c>
      <c r="C51" s="2">
        <v>139</v>
      </c>
      <c r="D51" s="2">
        <v>139</v>
      </c>
      <c r="G51" s="2" t="s">
        <v>207</v>
      </c>
      <c r="H51" s="2" t="s">
        <v>171</v>
      </c>
      <c r="I51" s="2">
        <v>4</v>
      </c>
      <c r="K51" s="2">
        <f>原始值!D51+VLOOKUP($H51,怪物强度修正!$A$2:$R$17,COLUMN(K51)-9,FALSE)</f>
        <v>4</v>
      </c>
      <c r="L51" s="2">
        <f>原始值!E51+VLOOKUP($H51,怪物强度修正!$A$2:$R$17,COLUMN(L51)-9,FALSE)</f>
        <v>26</v>
      </c>
      <c r="M51" s="2">
        <f t="shared" si="1"/>
        <v>4</v>
      </c>
      <c r="N51" s="2">
        <f t="shared" si="2"/>
        <v>26</v>
      </c>
      <c r="O51" s="2">
        <f>原始值!H51+VLOOKUP($H51,怪物强度修正!$A$2:$R$17,COLUMN(O51)-9,FALSE)</f>
        <v>0</v>
      </c>
      <c r="P51" s="2">
        <f>原始值!I51+VLOOKUP($H51,怪物强度修正!$A$2:$R$17,COLUMN(P51)-9,FALSE)</f>
        <v>0</v>
      </c>
      <c r="Q51" s="2">
        <f>原始值!J51+VLOOKUP($H51,怪物强度修正!$A$2:$R$17,COLUMN(Q51)-9,FALSE)</f>
        <v>1</v>
      </c>
      <c r="R51" s="2">
        <f>原始值!K51+VLOOKUP($H51,怪物强度修正!$A$2:$R$17,COLUMN(R51)-9,FALSE)</f>
        <v>1</v>
      </c>
      <c r="S51" s="2">
        <f>原始值!L51+VLOOKUP($H51,怪物强度修正!$A$2:$R$17,COLUMN(S51)-9,FALSE)</f>
        <v>2</v>
      </c>
      <c r="T51" s="2">
        <f>原始值!M51+VLOOKUP($H51,怪物强度修正!$A$2:$R$17,COLUMN(T51)-9,FALSE)</f>
        <v>2</v>
      </c>
      <c r="U51" s="2">
        <f>原始值!N51+VLOOKUP($H51,怪物强度修正!$A$2:$R$17,COLUMN(U51)-9,FALSE)</f>
        <v>3</v>
      </c>
      <c r="V51" s="2">
        <v>1</v>
      </c>
      <c r="W51" s="2">
        <f>原始值!P51+VLOOKUP($H51,怪物强度修正!$A$2:$R$17,COLUMN(W51)-9,FALSE)</f>
        <v>18</v>
      </c>
      <c r="X51" s="2">
        <f>原始值!Q51+VLOOKUP($H51,怪物强度修正!$A$2:$R$17,COLUMN(X51)-9,FALSE)</f>
        <v>5</v>
      </c>
      <c r="Y51" s="2">
        <f>原始值!R51+VLOOKUP($H51,怪物强度修正!$A$2:$R$17,COLUMN(Y51)-9,FALSE)</f>
        <v>75</v>
      </c>
      <c r="Z51" s="2">
        <f>原始值!S51+VLOOKUP($H51,怪物强度修正!$A$2:$R$17,COLUMN(Z51)-9,FALSE)</f>
        <v>300</v>
      </c>
      <c r="AA51" s="2">
        <f>原始值!T51+VLOOKUP($H51,怪物强度修正!$A$2:$R$17,COLUMN(AA51)-9,FALSE)</f>
        <v>50</v>
      </c>
    </row>
    <row r="52" spans="1:27" s="2" customFormat="1">
      <c r="A52" s="2" t="str">
        <f t="shared" si="4"/>
        <v>PhyType.NewNpcType_140</v>
      </c>
      <c r="B52" s="2" t="s">
        <v>137</v>
      </c>
      <c r="C52" s="2">
        <v>140</v>
      </c>
      <c r="D52" s="2">
        <v>140</v>
      </c>
      <c r="G52" s="2" t="s">
        <v>169</v>
      </c>
      <c r="H52" s="2" t="s">
        <v>171</v>
      </c>
      <c r="I52" s="2">
        <v>349</v>
      </c>
      <c r="K52" s="2">
        <f>原始值!D52+VLOOKUP($H52,怪物强度修正!$A$2:$R$17,COLUMN(K52)-9,FALSE)</f>
        <v>17</v>
      </c>
      <c r="L52" s="2">
        <f>原始值!E52+VLOOKUP($H52,怪物强度修正!$A$2:$R$17,COLUMN(L52)-9,FALSE)</f>
        <v>22</v>
      </c>
      <c r="M52" s="2">
        <f t="shared" si="1"/>
        <v>17</v>
      </c>
      <c r="N52" s="2">
        <f t="shared" si="2"/>
        <v>22</v>
      </c>
      <c r="O52" s="2">
        <f>原始值!H52+VLOOKUP($H52,怪物强度修正!$A$2:$R$17,COLUMN(O52)-9,FALSE)</f>
        <v>0</v>
      </c>
      <c r="P52" s="2">
        <f>原始值!I52+VLOOKUP($H52,怪物强度修正!$A$2:$R$17,COLUMN(P52)-9,FALSE)</f>
        <v>0</v>
      </c>
      <c r="Q52" s="2">
        <f>原始值!J52+VLOOKUP($H52,怪物强度修正!$A$2:$R$17,COLUMN(Q52)-9,FALSE)</f>
        <v>1</v>
      </c>
      <c r="R52" s="2">
        <f>原始值!K52+VLOOKUP($H52,怪物强度修正!$A$2:$R$17,COLUMN(R52)-9,FALSE)</f>
        <v>1</v>
      </c>
      <c r="S52" s="2">
        <f>原始值!L52+VLOOKUP($H52,怪物强度修正!$A$2:$R$17,COLUMN(S52)-9,FALSE)</f>
        <v>7</v>
      </c>
      <c r="T52" s="2">
        <f>原始值!M52+VLOOKUP($H52,怪物强度修正!$A$2:$R$17,COLUMN(T52)-9,FALSE)</f>
        <v>7</v>
      </c>
      <c r="U52" s="2">
        <f>原始值!N52+VLOOKUP($H52,怪物强度修正!$A$2:$R$17,COLUMN(U52)-9,FALSE)</f>
        <v>220</v>
      </c>
      <c r="V52" s="2">
        <v>1</v>
      </c>
      <c r="W52" s="2">
        <f>原始值!P52+VLOOKUP($H52,怪物强度修正!$A$2:$R$17,COLUMN(W52)-9,FALSE)</f>
        <v>15</v>
      </c>
      <c r="X52" s="2">
        <f>原始值!Q52+VLOOKUP($H52,怪物强度修正!$A$2:$R$17,COLUMN(X52)-9,FALSE)</f>
        <v>17</v>
      </c>
      <c r="Y52" s="2">
        <f>原始值!R52+VLOOKUP($H52,怪物强度修正!$A$2:$R$17,COLUMN(Y52)-9,FALSE)</f>
        <v>75</v>
      </c>
      <c r="Z52" s="2">
        <f>原始值!S52+VLOOKUP($H52,怪物强度修正!$A$2:$R$17,COLUMN(Z52)-9,FALSE)</f>
        <v>300</v>
      </c>
      <c r="AA52" s="2">
        <f>原始值!T52+VLOOKUP($H52,怪物强度修正!$A$2:$R$17,COLUMN(AA52)-9,FALSE)</f>
        <v>50</v>
      </c>
    </row>
    <row r="53" spans="1:27" s="2" customFormat="1">
      <c r="A53" s="2" t="str">
        <f t="shared" ref="A53:A61" si="5">"PhyType.NewNpcType_"&amp;D53</f>
        <v>PhyType.NewNpcType_142</v>
      </c>
      <c r="B53" s="2" t="s">
        <v>137</v>
      </c>
      <c r="C53" s="2">
        <v>142</v>
      </c>
      <c r="D53" s="2">
        <v>142</v>
      </c>
      <c r="G53" s="2" t="s">
        <v>288</v>
      </c>
      <c r="H53" s="2" t="s">
        <v>308</v>
      </c>
      <c r="I53" s="2">
        <v>499</v>
      </c>
      <c r="K53" s="2">
        <f>原始值!D53+VLOOKUP($H53,怪物强度修正!$A$2:$R$17,COLUMN(K53)-9,FALSE)</f>
        <v>35</v>
      </c>
      <c r="L53" s="2">
        <f>原始值!E53+VLOOKUP($H53,怪物强度修正!$A$2:$R$17,COLUMN(L53)-9,FALSE)</f>
        <v>55</v>
      </c>
      <c r="M53" s="2">
        <f t="shared" ref="M53:M61" si="6">K53</f>
        <v>35</v>
      </c>
      <c r="N53" s="2">
        <f t="shared" ref="N53:N61" si="7">L53</f>
        <v>55</v>
      </c>
      <c r="O53" s="2">
        <f>原始值!H53+VLOOKUP($H53,怪物强度修正!$A$2:$R$17,COLUMN(O53)-9,FALSE)</f>
        <v>0</v>
      </c>
      <c r="P53" s="2">
        <f>原始值!I53+VLOOKUP($H53,怪物强度修正!$A$2:$R$17,COLUMN(P53)-9,FALSE)</f>
        <v>0</v>
      </c>
      <c r="Q53" s="2">
        <f>原始值!J53+VLOOKUP($H53,怪物强度修正!$A$2:$R$17,COLUMN(Q53)-9,FALSE)</f>
        <v>16</v>
      </c>
      <c r="R53" s="2">
        <f>原始值!K53+VLOOKUP($H53,怪物强度修正!$A$2:$R$17,COLUMN(R53)-9,FALSE)</f>
        <v>16</v>
      </c>
      <c r="S53" s="2">
        <f>原始值!L53+VLOOKUP($H53,怪物强度修正!$A$2:$R$17,COLUMN(S53)-9,FALSE)</f>
        <v>20</v>
      </c>
      <c r="T53" s="2">
        <f>原始值!M53+VLOOKUP($H53,怪物强度修正!$A$2:$R$17,COLUMN(T53)-9,FALSE)</f>
        <v>20</v>
      </c>
      <c r="U53" s="2">
        <f>原始值!N53+VLOOKUP($H53,怪物强度修正!$A$2:$R$17,COLUMN(U53)-9,FALSE)</f>
        <v>1500</v>
      </c>
      <c r="V53" s="2">
        <v>2</v>
      </c>
      <c r="W53" s="2">
        <f>原始值!P53+VLOOKUP($H53,怪物强度修正!$A$2:$R$17,COLUMN(W53)-9,FALSE)</f>
        <v>15</v>
      </c>
      <c r="X53" s="2">
        <f>原始值!Q53+VLOOKUP($H53,怪物强度修正!$A$2:$R$17,COLUMN(X53)-9,FALSE)</f>
        <v>20</v>
      </c>
      <c r="Y53" s="2">
        <f>原始值!R53+VLOOKUP($H53,怪物强度修正!$A$2:$R$17,COLUMN(Y53)-9,FALSE)</f>
        <v>75</v>
      </c>
      <c r="Z53" s="2">
        <f>原始值!S53+VLOOKUP($H53,怪物强度修正!$A$2:$R$17,COLUMN(Z53)-9,FALSE)</f>
        <v>300</v>
      </c>
      <c r="AA53" s="2">
        <f>原始值!T53+VLOOKUP($H53,怪物强度修正!$A$2:$R$17,COLUMN(AA53)-9,FALSE)</f>
        <v>50</v>
      </c>
    </row>
    <row r="54" spans="1:27" s="2" customFormat="1">
      <c r="A54" s="2" t="str">
        <f t="shared" si="5"/>
        <v>PhyType.NewNpcType_143</v>
      </c>
      <c r="B54" s="2" t="s">
        <v>137</v>
      </c>
      <c r="C54" s="2">
        <v>143</v>
      </c>
      <c r="D54" s="2">
        <v>143</v>
      </c>
      <c r="G54" s="2" t="s">
        <v>289</v>
      </c>
      <c r="H54" s="2" t="s">
        <v>308</v>
      </c>
      <c r="I54" s="2">
        <v>699</v>
      </c>
      <c r="K54" s="2">
        <f>原始值!D54+VLOOKUP($H54,怪物强度修正!$A$2:$R$17,COLUMN(K54)-9,FALSE)</f>
        <v>32</v>
      </c>
      <c r="L54" s="2">
        <f>原始值!E54+VLOOKUP($H54,怪物强度修正!$A$2:$R$17,COLUMN(L54)-9,FALSE)</f>
        <v>32</v>
      </c>
      <c r="M54" s="2">
        <f t="shared" si="6"/>
        <v>32</v>
      </c>
      <c r="N54" s="2">
        <f t="shared" si="7"/>
        <v>32</v>
      </c>
      <c r="O54" s="2">
        <f>原始值!H54+VLOOKUP($H54,怪物强度修正!$A$2:$R$17,COLUMN(O54)-9,FALSE)</f>
        <v>0</v>
      </c>
      <c r="P54" s="2">
        <f>原始值!I54+VLOOKUP($H54,怪物强度修正!$A$2:$R$17,COLUMN(P54)-9,FALSE)</f>
        <v>0</v>
      </c>
      <c r="Q54" s="2">
        <f>原始值!J54+VLOOKUP($H54,怪物强度修正!$A$2:$R$17,COLUMN(Q54)-9,FALSE)</f>
        <v>13</v>
      </c>
      <c r="R54" s="2">
        <f>原始值!K54+VLOOKUP($H54,怪物强度修正!$A$2:$R$17,COLUMN(R54)-9,FALSE)</f>
        <v>13</v>
      </c>
      <c r="S54" s="2">
        <f>原始值!L54+VLOOKUP($H54,怪物强度修正!$A$2:$R$17,COLUMN(S54)-9,FALSE)</f>
        <v>30</v>
      </c>
      <c r="T54" s="2">
        <f>原始值!M54+VLOOKUP($H54,怪物强度修正!$A$2:$R$17,COLUMN(T54)-9,FALSE)</f>
        <v>30</v>
      </c>
      <c r="U54" s="2">
        <f>原始值!N54+VLOOKUP($H54,怪物强度修正!$A$2:$R$17,COLUMN(U54)-9,FALSE)</f>
        <v>850</v>
      </c>
      <c r="V54" s="2">
        <v>3</v>
      </c>
      <c r="W54" s="2">
        <f>原始值!P54+VLOOKUP($H54,怪物强度修正!$A$2:$R$17,COLUMN(W54)-9,FALSE)</f>
        <v>50</v>
      </c>
      <c r="X54" s="2">
        <f>原始值!Q54+VLOOKUP($H54,怪物强度修正!$A$2:$R$17,COLUMN(X54)-9,FALSE)</f>
        <v>20</v>
      </c>
      <c r="Y54" s="2">
        <f>原始值!R54+VLOOKUP($H54,怪物强度修正!$A$2:$R$17,COLUMN(Y54)-9,FALSE)</f>
        <v>75</v>
      </c>
      <c r="Z54" s="2">
        <f>原始值!S54+VLOOKUP($H54,怪物强度修正!$A$2:$R$17,COLUMN(Z54)-9,FALSE)</f>
        <v>300</v>
      </c>
      <c r="AA54" s="2">
        <f>原始值!T54+VLOOKUP($H54,怪物强度修正!$A$2:$R$17,COLUMN(AA54)-9,FALSE)</f>
        <v>50</v>
      </c>
    </row>
    <row r="55" spans="1:27" s="2" customFormat="1">
      <c r="A55" s="2" t="str">
        <f t="shared" si="5"/>
        <v>PhyType.NewNpcType_144</v>
      </c>
      <c r="B55" s="2" t="s">
        <v>137</v>
      </c>
      <c r="C55" s="2">
        <v>144</v>
      </c>
      <c r="D55" s="2">
        <v>144</v>
      </c>
      <c r="G55" s="2" t="s">
        <v>290</v>
      </c>
      <c r="H55" s="2" t="s">
        <v>308</v>
      </c>
      <c r="I55" s="2">
        <v>499</v>
      </c>
      <c r="K55" s="2">
        <f>原始值!D55+VLOOKUP($H55,怪物强度修正!$A$2:$R$17,COLUMN(K55)-9,FALSE)</f>
        <v>27</v>
      </c>
      <c r="L55" s="2">
        <f>原始值!E55+VLOOKUP($H55,怪物强度修正!$A$2:$R$17,COLUMN(L55)-9,FALSE)</f>
        <v>39</v>
      </c>
      <c r="M55" s="2">
        <f t="shared" si="6"/>
        <v>27</v>
      </c>
      <c r="N55" s="2">
        <f t="shared" si="7"/>
        <v>39</v>
      </c>
      <c r="O55" s="2">
        <f>原始值!H55+VLOOKUP($H55,怪物强度修正!$A$2:$R$17,COLUMN(O55)-9,FALSE)</f>
        <v>0</v>
      </c>
      <c r="P55" s="2">
        <f>原始值!I55+VLOOKUP($H55,怪物强度修正!$A$2:$R$17,COLUMN(P55)-9,FALSE)</f>
        <v>0</v>
      </c>
      <c r="Q55" s="2">
        <f>原始值!J55+VLOOKUP($H55,怪物强度修正!$A$2:$R$17,COLUMN(Q55)-9,FALSE)</f>
        <v>9</v>
      </c>
      <c r="R55" s="2">
        <f>原始值!K55+VLOOKUP($H55,怪物强度修正!$A$2:$R$17,COLUMN(R55)-9,FALSE)</f>
        <v>9</v>
      </c>
      <c r="S55" s="2">
        <f>原始值!L55+VLOOKUP($H55,怪物强度修正!$A$2:$R$17,COLUMN(S55)-9,FALSE)</f>
        <v>22</v>
      </c>
      <c r="T55" s="2">
        <f>原始值!M55+VLOOKUP($H55,怪物强度修正!$A$2:$R$17,COLUMN(T55)-9,FALSE)</f>
        <v>22</v>
      </c>
      <c r="U55" s="2">
        <f>原始值!N55+VLOOKUP($H55,怪物强度修正!$A$2:$R$17,COLUMN(U55)-9,FALSE)</f>
        <v>500</v>
      </c>
      <c r="V55" s="2">
        <v>4</v>
      </c>
      <c r="W55" s="2">
        <f>原始值!P55+VLOOKUP($H55,怪物强度修正!$A$2:$R$17,COLUMN(W55)-9,FALSE)</f>
        <v>15</v>
      </c>
      <c r="X55" s="2">
        <f>原始值!Q55+VLOOKUP($H55,怪物强度修正!$A$2:$R$17,COLUMN(X55)-9,FALSE)</f>
        <v>17</v>
      </c>
      <c r="Y55" s="2">
        <f>原始值!R55+VLOOKUP($H55,怪物强度修正!$A$2:$R$17,COLUMN(Y55)-9,FALSE)</f>
        <v>75</v>
      </c>
      <c r="Z55" s="2">
        <f>原始值!S55+VLOOKUP($H55,怪物强度修正!$A$2:$R$17,COLUMN(Z55)-9,FALSE)</f>
        <v>300</v>
      </c>
      <c r="AA55" s="2">
        <f>原始值!T55+VLOOKUP($H55,怪物强度修正!$A$2:$R$17,COLUMN(AA55)-9,FALSE)</f>
        <v>50</v>
      </c>
    </row>
    <row r="56" spans="1:27" s="2" customFormat="1">
      <c r="A56" s="2" t="str">
        <f t="shared" si="5"/>
        <v>PhyType.NewNpcType_145</v>
      </c>
      <c r="B56" s="2" t="s">
        <v>137</v>
      </c>
      <c r="C56" s="2">
        <v>145</v>
      </c>
      <c r="D56" s="2">
        <v>145</v>
      </c>
      <c r="G56" s="2" t="s">
        <v>291</v>
      </c>
      <c r="H56" s="2" t="s">
        <v>308</v>
      </c>
      <c r="I56" s="2">
        <v>699</v>
      </c>
      <c r="K56" s="2">
        <f>原始值!D56+VLOOKUP($H56,怪物强度修正!$A$2:$R$17,COLUMN(K56)-9,FALSE)</f>
        <v>40</v>
      </c>
      <c r="L56" s="2">
        <f>原始值!E56+VLOOKUP($H56,怪物强度修正!$A$2:$R$17,COLUMN(L56)-9,FALSE)</f>
        <v>55</v>
      </c>
      <c r="M56" s="2">
        <f t="shared" si="6"/>
        <v>40</v>
      </c>
      <c r="N56" s="2">
        <f t="shared" si="7"/>
        <v>55</v>
      </c>
      <c r="O56" s="2">
        <f>原始值!H56+VLOOKUP($H56,怪物强度修正!$A$2:$R$17,COLUMN(O56)-9,FALSE)</f>
        <v>0</v>
      </c>
      <c r="P56" s="2">
        <f>原始值!I56+VLOOKUP($H56,怪物强度修正!$A$2:$R$17,COLUMN(P56)-9,FALSE)</f>
        <v>0</v>
      </c>
      <c r="Q56" s="2">
        <f>原始值!J56+VLOOKUP($H56,怪物强度修正!$A$2:$R$17,COLUMN(Q56)-9,FALSE)</f>
        <v>14</v>
      </c>
      <c r="R56" s="2">
        <f>原始值!K56+VLOOKUP($H56,怪物强度修正!$A$2:$R$17,COLUMN(R56)-9,FALSE)</f>
        <v>14</v>
      </c>
      <c r="S56" s="2">
        <f>原始值!L56+VLOOKUP($H56,怪物强度修正!$A$2:$R$17,COLUMN(S56)-9,FALSE)</f>
        <v>35</v>
      </c>
      <c r="T56" s="2">
        <f>原始值!M56+VLOOKUP($H56,怪物强度修正!$A$2:$R$17,COLUMN(T56)-9,FALSE)</f>
        <v>35</v>
      </c>
      <c r="U56" s="2">
        <f>原始值!N56+VLOOKUP($H56,怪物强度修正!$A$2:$R$17,COLUMN(U56)-9,FALSE)</f>
        <v>800</v>
      </c>
      <c r="V56" s="2">
        <v>5</v>
      </c>
      <c r="W56" s="2">
        <f>原始值!P56+VLOOKUP($H56,怪物强度修正!$A$2:$R$17,COLUMN(W56)-9,FALSE)</f>
        <v>20</v>
      </c>
      <c r="X56" s="2">
        <f>原始值!Q56+VLOOKUP($H56,怪物强度修正!$A$2:$R$17,COLUMN(X56)-9,FALSE)</f>
        <v>17</v>
      </c>
      <c r="Y56" s="2">
        <f>原始值!R56+VLOOKUP($H56,怪物强度修正!$A$2:$R$17,COLUMN(Y56)-9,FALSE)</f>
        <v>75</v>
      </c>
      <c r="Z56" s="2">
        <f>原始值!S56+VLOOKUP($H56,怪物强度修正!$A$2:$R$17,COLUMN(Z56)-9,FALSE)</f>
        <v>300</v>
      </c>
      <c r="AA56" s="2">
        <f>原始值!T56+VLOOKUP($H56,怪物强度修正!$A$2:$R$17,COLUMN(AA56)-9,FALSE)</f>
        <v>50</v>
      </c>
    </row>
    <row r="57" spans="1:27" s="2" customFormat="1">
      <c r="A57" s="2" t="str">
        <f t="shared" si="5"/>
        <v>PhyType.NewNpcType_146</v>
      </c>
      <c r="B57" s="2" t="s">
        <v>137</v>
      </c>
      <c r="C57" s="2">
        <v>146</v>
      </c>
      <c r="D57" s="2">
        <v>146</v>
      </c>
      <c r="G57" s="2" t="s">
        <v>292</v>
      </c>
      <c r="H57" s="2" t="s">
        <v>308</v>
      </c>
      <c r="I57" s="2">
        <v>679</v>
      </c>
      <c r="K57" s="2">
        <f>原始值!D57+VLOOKUP($H57,怪物强度修正!$A$2:$R$17,COLUMN(K57)-9,FALSE)</f>
        <v>25</v>
      </c>
      <c r="L57" s="2">
        <f>原始值!E57+VLOOKUP($H57,怪物强度修正!$A$2:$R$17,COLUMN(L57)-9,FALSE)</f>
        <v>65</v>
      </c>
      <c r="M57" s="2">
        <f t="shared" si="6"/>
        <v>25</v>
      </c>
      <c r="N57" s="2">
        <f t="shared" si="7"/>
        <v>65</v>
      </c>
      <c r="O57" s="2">
        <f>原始值!H57+VLOOKUP($H57,怪物强度修正!$A$2:$R$17,COLUMN(O57)-9,FALSE)</f>
        <v>0</v>
      </c>
      <c r="P57" s="2">
        <f>原始值!I57+VLOOKUP($H57,怪物强度修正!$A$2:$R$17,COLUMN(P57)-9,FALSE)</f>
        <v>0</v>
      </c>
      <c r="Q57" s="2">
        <f>原始值!J57+VLOOKUP($H57,怪物强度修正!$A$2:$R$17,COLUMN(Q57)-9,FALSE)</f>
        <v>13</v>
      </c>
      <c r="R57" s="2">
        <f>原始值!K57+VLOOKUP($H57,怪物强度修正!$A$2:$R$17,COLUMN(R57)-9,FALSE)</f>
        <v>13</v>
      </c>
      <c r="S57" s="2">
        <f>原始值!L57+VLOOKUP($H57,怪物强度修正!$A$2:$R$17,COLUMN(S57)-9,FALSE)</f>
        <v>29</v>
      </c>
      <c r="T57" s="2">
        <f>原始值!M57+VLOOKUP($H57,怪物强度修正!$A$2:$R$17,COLUMN(T57)-9,FALSE)</f>
        <v>29</v>
      </c>
      <c r="U57" s="2">
        <f>原始值!N57+VLOOKUP($H57,怪物强度修正!$A$2:$R$17,COLUMN(U57)-9,FALSE)</f>
        <v>750</v>
      </c>
      <c r="V57" s="2">
        <v>6</v>
      </c>
      <c r="W57" s="2">
        <f>原始值!P57+VLOOKUP($H57,怪物强度修正!$A$2:$R$17,COLUMN(W57)-9,FALSE)</f>
        <v>17</v>
      </c>
      <c r="X57" s="2">
        <f>原始值!Q57+VLOOKUP($H57,怪物强度修正!$A$2:$R$17,COLUMN(X57)-9,FALSE)</f>
        <v>25</v>
      </c>
      <c r="Y57" s="2">
        <f>原始值!R57+VLOOKUP($H57,怪物强度修正!$A$2:$R$17,COLUMN(Y57)-9,FALSE)</f>
        <v>75</v>
      </c>
      <c r="Z57" s="2">
        <f>原始值!S57+VLOOKUP($H57,怪物强度修正!$A$2:$R$17,COLUMN(Z57)-9,FALSE)</f>
        <v>300</v>
      </c>
      <c r="AA57" s="2">
        <f>原始值!T57+VLOOKUP($H57,怪物强度修正!$A$2:$R$17,COLUMN(AA57)-9,FALSE)</f>
        <v>50</v>
      </c>
    </row>
    <row r="58" spans="1:27" s="2" customFormat="1">
      <c r="A58" s="2" t="str">
        <f t="shared" si="5"/>
        <v>PhyType.NewNpcType_147</v>
      </c>
      <c r="B58" s="2" t="s">
        <v>137</v>
      </c>
      <c r="C58" s="2">
        <v>147</v>
      </c>
      <c r="D58" s="2">
        <v>147</v>
      </c>
      <c r="G58" s="2" t="s">
        <v>293</v>
      </c>
      <c r="H58" s="2" t="s">
        <v>308</v>
      </c>
      <c r="I58" s="2">
        <v>899</v>
      </c>
      <c r="K58" s="2">
        <f>原始值!D58+VLOOKUP($H58,怪物强度修正!$A$2:$R$17,COLUMN(K58)-9,FALSE)</f>
        <v>20</v>
      </c>
      <c r="L58" s="2">
        <f>原始值!E58+VLOOKUP($H58,怪物强度修正!$A$2:$R$17,COLUMN(L58)-9,FALSE)</f>
        <v>80</v>
      </c>
      <c r="M58" s="2">
        <f t="shared" si="6"/>
        <v>20</v>
      </c>
      <c r="N58" s="2">
        <f t="shared" si="7"/>
        <v>80</v>
      </c>
      <c r="O58" s="2">
        <f>原始值!H58+VLOOKUP($H58,怪物强度修正!$A$2:$R$17,COLUMN(O58)-9,FALSE)</f>
        <v>0</v>
      </c>
      <c r="P58" s="2">
        <f>原始值!I58+VLOOKUP($H58,怪物强度修正!$A$2:$R$17,COLUMN(P58)-9,FALSE)</f>
        <v>0</v>
      </c>
      <c r="Q58" s="2">
        <f>原始值!J58+VLOOKUP($H58,怪物强度修正!$A$2:$R$17,COLUMN(Q58)-9,FALSE)</f>
        <v>12</v>
      </c>
      <c r="R58" s="2">
        <f>原始值!K58+VLOOKUP($H58,怪物强度修正!$A$2:$R$17,COLUMN(R58)-9,FALSE)</f>
        <v>12</v>
      </c>
      <c r="S58" s="2">
        <f>原始值!L58+VLOOKUP($H58,怪物强度修正!$A$2:$R$17,COLUMN(S58)-9,FALSE)</f>
        <v>32</v>
      </c>
      <c r="T58" s="2">
        <f>原始值!M58+VLOOKUP($H58,怪物强度修正!$A$2:$R$17,COLUMN(T58)-9,FALSE)</f>
        <v>32</v>
      </c>
      <c r="U58" s="2">
        <f>原始值!N58+VLOOKUP($H58,怪物强度修正!$A$2:$R$17,COLUMN(U58)-9,FALSE)</f>
        <v>1200</v>
      </c>
      <c r="V58" s="2">
        <v>7</v>
      </c>
      <c r="W58" s="2">
        <f>原始值!P58+VLOOKUP($H58,怪物强度修正!$A$2:$R$17,COLUMN(W58)-9,FALSE)</f>
        <v>17</v>
      </c>
      <c r="X58" s="2">
        <f>原始值!Q58+VLOOKUP($H58,怪物强度修正!$A$2:$R$17,COLUMN(X58)-9,FALSE)</f>
        <v>17</v>
      </c>
      <c r="Y58" s="2">
        <f>原始值!R58+VLOOKUP($H58,怪物强度修正!$A$2:$R$17,COLUMN(Y58)-9,FALSE)</f>
        <v>75</v>
      </c>
      <c r="Z58" s="2">
        <f>原始值!S58+VLOOKUP($H58,怪物强度修正!$A$2:$R$17,COLUMN(Z58)-9,FALSE)</f>
        <v>300</v>
      </c>
      <c r="AA58" s="2">
        <f>原始值!T58+VLOOKUP($H58,怪物强度修正!$A$2:$R$17,COLUMN(AA58)-9,FALSE)</f>
        <v>50</v>
      </c>
    </row>
    <row r="59" spans="1:27" s="2" customFormat="1">
      <c r="A59" s="2" t="str">
        <f t="shared" si="5"/>
        <v>PhyType.NewNpcType_148</v>
      </c>
      <c r="B59" s="2" t="s">
        <v>137</v>
      </c>
      <c r="C59" s="2">
        <v>148</v>
      </c>
      <c r="D59" s="2">
        <v>148</v>
      </c>
      <c r="G59" s="2" t="s">
        <v>294</v>
      </c>
      <c r="H59" s="2" t="s">
        <v>308</v>
      </c>
      <c r="I59" s="2">
        <v>899</v>
      </c>
      <c r="K59" s="2">
        <f>原始值!D59+VLOOKUP($H59,怪物强度修正!$A$2:$R$17,COLUMN(K59)-9,FALSE)</f>
        <v>5</v>
      </c>
      <c r="L59" s="2">
        <f>原始值!E59+VLOOKUP($H59,怪物强度修正!$A$2:$R$17,COLUMN(L59)-9,FALSE)</f>
        <v>5</v>
      </c>
      <c r="M59" s="2">
        <f t="shared" si="6"/>
        <v>5</v>
      </c>
      <c r="N59" s="2">
        <f t="shared" si="7"/>
        <v>5</v>
      </c>
      <c r="O59" s="2">
        <f>原始值!H59+VLOOKUP($H59,怪物强度修正!$A$2:$R$17,COLUMN(O59)-9,FALSE)</f>
        <v>0</v>
      </c>
      <c r="P59" s="2">
        <f>原始值!I59+VLOOKUP($H59,怪物强度修正!$A$2:$R$17,COLUMN(P59)-9,FALSE)</f>
        <v>0</v>
      </c>
      <c r="Q59" s="2">
        <f>原始值!J59+VLOOKUP($H59,怪物强度修正!$A$2:$R$17,COLUMN(Q59)-9,FALSE)</f>
        <v>11</v>
      </c>
      <c r="R59" s="2">
        <f>原始值!K59+VLOOKUP($H59,怪物强度修正!$A$2:$R$17,COLUMN(R59)-9,FALSE)</f>
        <v>11</v>
      </c>
      <c r="S59" s="2">
        <f>原始值!L59+VLOOKUP($H59,怪物强度修正!$A$2:$R$17,COLUMN(S59)-9,FALSE)</f>
        <v>25</v>
      </c>
      <c r="T59" s="2">
        <f>原始值!M59+VLOOKUP($H59,怪物强度修正!$A$2:$R$17,COLUMN(T59)-9,FALSE)</f>
        <v>25</v>
      </c>
      <c r="U59" s="2">
        <f>原始值!N59+VLOOKUP($H59,怪物强度修正!$A$2:$R$17,COLUMN(U59)-9,FALSE)</f>
        <v>1200</v>
      </c>
      <c r="V59" s="2">
        <v>8</v>
      </c>
      <c r="W59" s="2">
        <f>原始值!P59+VLOOKUP($H59,怪物强度修正!$A$2:$R$17,COLUMN(W59)-9,FALSE)</f>
        <v>1</v>
      </c>
      <c r="X59" s="2">
        <f>原始值!Q59+VLOOKUP($H59,怪物强度修正!$A$2:$R$17,COLUMN(X59)-9,FALSE)</f>
        <v>1</v>
      </c>
      <c r="Y59" s="2">
        <f>原始值!R59+VLOOKUP($H59,怪物强度修正!$A$2:$R$17,COLUMN(Y59)-9,FALSE)</f>
        <v>75</v>
      </c>
      <c r="Z59" s="2">
        <f>原始值!S59+VLOOKUP($H59,怪物强度修正!$A$2:$R$17,COLUMN(Z59)-9,FALSE)</f>
        <v>300</v>
      </c>
      <c r="AA59" s="2">
        <f>原始值!T59+VLOOKUP($H59,怪物强度修正!$A$2:$R$17,COLUMN(AA59)-9,FALSE)</f>
        <v>50</v>
      </c>
    </row>
    <row r="60" spans="1:27" s="2" customFormat="1">
      <c r="A60" s="2" t="str">
        <f t="shared" si="5"/>
        <v>PhyType.NewNpcType_149</v>
      </c>
      <c r="B60" s="2" t="s">
        <v>137</v>
      </c>
      <c r="C60" s="2">
        <v>149</v>
      </c>
      <c r="D60" s="2">
        <v>149</v>
      </c>
      <c r="G60" s="2" t="s">
        <v>296</v>
      </c>
      <c r="H60" s="2" t="s">
        <v>308</v>
      </c>
      <c r="I60" s="2">
        <v>6</v>
      </c>
      <c r="K60" s="2">
        <f>原始值!D60+VLOOKUP($H60,怪物强度修正!$A$2:$R$17,COLUMN(K60)-9,FALSE)</f>
        <v>25</v>
      </c>
      <c r="L60" s="2">
        <f>原始值!E60+VLOOKUP($H60,怪物强度修正!$A$2:$R$17,COLUMN(L60)-9,FALSE)</f>
        <v>25</v>
      </c>
      <c r="M60" s="2">
        <f t="shared" si="6"/>
        <v>25</v>
      </c>
      <c r="N60" s="2">
        <f t="shared" si="7"/>
        <v>25</v>
      </c>
      <c r="O60" s="2">
        <f>原始值!H60+VLOOKUP($H60,怪物强度修正!$A$2:$R$17,COLUMN(O60)-9,FALSE)</f>
        <v>0</v>
      </c>
      <c r="P60" s="2">
        <f>原始值!I60+VLOOKUP($H60,怪物强度修正!$A$2:$R$17,COLUMN(P60)-9,FALSE)</f>
        <v>0</v>
      </c>
      <c r="Q60" s="2">
        <f>原始值!J60+VLOOKUP($H60,怪物强度修正!$A$2:$R$17,COLUMN(Q60)-9,FALSE)</f>
        <v>1</v>
      </c>
      <c r="R60" s="2">
        <f>原始值!K60+VLOOKUP($H60,怪物强度修正!$A$2:$R$17,COLUMN(R60)-9,FALSE)</f>
        <v>1</v>
      </c>
      <c r="S60" s="2">
        <f>原始值!L60+VLOOKUP($H60,怪物强度修正!$A$2:$R$17,COLUMN(S60)-9,FALSE)</f>
        <v>2</v>
      </c>
      <c r="T60" s="2">
        <f>原始值!M60+VLOOKUP($H60,怪物强度修正!$A$2:$R$17,COLUMN(T60)-9,FALSE)</f>
        <v>2</v>
      </c>
      <c r="U60" s="2">
        <f>原始值!N60+VLOOKUP($H60,怪物强度修正!$A$2:$R$17,COLUMN(U60)-9,FALSE)</f>
        <v>10</v>
      </c>
      <c r="V60" s="2">
        <v>9</v>
      </c>
      <c r="W60" s="2">
        <f>原始值!P60+VLOOKUP($H60,怪物强度修正!$A$2:$R$17,COLUMN(W60)-9,FALSE)</f>
        <v>30</v>
      </c>
      <c r="X60" s="2">
        <f>原始值!Q60+VLOOKUP($H60,怪物强度修正!$A$2:$R$17,COLUMN(X60)-9,FALSE)</f>
        <v>30</v>
      </c>
      <c r="Y60" s="2">
        <f>原始值!R60+VLOOKUP($H60,怪物强度修正!$A$2:$R$17,COLUMN(Y60)-9,FALSE)</f>
        <v>75</v>
      </c>
      <c r="Z60" s="2">
        <f>原始值!S60+VLOOKUP($H60,怪物强度修正!$A$2:$R$17,COLUMN(Z60)-9,FALSE)</f>
        <v>300</v>
      </c>
      <c r="AA60" s="2">
        <f>原始值!T60+VLOOKUP($H60,怪物强度修正!$A$2:$R$17,COLUMN(AA60)-9,FALSE)</f>
        <v>50</v>
      </c>
    </row>
    <row r="61" spans="1:27" s="2" customFormat="1">
      <c r="A61" s="2" t="str">
        <f t="shared" si="5"/>
        <v>PhyType.NewNpcType_150</v>
      </c>
      <c r="B61" s="2" t="s">
        <v>137</v>
      </c>
      <c r="C61" s="2">
        <v>150</v>
      </c>
      <c r="D61" s="2">
        <v>150</v>
      </c>
      <c r="G61" s="2" t="s">
        <v>295</v>
      </c>
      <c r="H61" s="2" t="s">
        <v>308</v>
      </c>
      <c r="I61" s="2">
        <v>999</v>
      </c>
      <c r="K61" s="2">
        <f>原始值!D61+VLOOKUP($H61,怪物强度修正!$A$2:$R$17,COLUMN(K61)-9,FALSE)</f>
        <v>40</v>
      </c>
      <c r="L61" s="2">
        <f>原始值!E61+VLOOKUP($H61,怪物强度修正!$A$2:$R$17,COLUMN(L61)-9,FALSE)</f>
        <v>75</v>
      </c>
      <c r="M61" s="2">
        <f t="shared" si="6"/>
        <v>40</v>
      </c>
      <c r="N61" s="2">
        <f t="shared" si="7"/>
        <v>75</v>
      </c>
      <c r="O61" s="2">
        <f>原始值!H61+VLOOKUP($H61,怪物强度修正!$A$2:$R$17,COLUMN(O61)-9,FALSE)</f>
        <v>0</v>
      </c>
      <c r="P61" s="2">
        <f>原始值!I61+VLOOKUP($H61,怪物强度修正!$A$2:$R$17,COLUMN(P61)-9,FALSE)</f>
        <v>0</v>
      </c>
      <c r="Q61" s="2">
        <f>原始值!J61+VLOOKUP($H61,怪物强度修正!$A$2:$R$17,COLUMN(Q61)-9,FALSE)</f>
        <v>16</v>
      </c>
      <c r="R61" s="2">
        <f>原始值!K61+VLOOKUP($H61,怪物强度修正!$A$2:$R$17,COLUMN(R61)-9,FALSE)</f>
        <v>16</v>
      </c>
      <c r="S61" s="2">
        <f>原始值!L61+VLOOKUP($H61,怪物强度修正!$A$2:$R$17,COLUMN(S61)-9,FALSE)</f>
        <v>32</v>
      </c>
      <c r="T61" s="2">
        <f>原始值!M61+VLOOKUP($H61,怪物强度修正!$A$2:$R$17,COLUMN(T61)-9,FALSE)</f>
        <v>32</v>
      </c>
      <c r="U61" s="2">
        <f>原始值!N61+VLOOKUP($H61,怪物强度修正!$A$2:$R$17,COLUMN(U61)-9,FALSE)</f>
        <v>1200</v>
      </c>
      <c r="V61" s="2">
        <v>10</v>
      </c>
      <c r="W61" s="2">
        <f>原始值!P61+VLOOKUP($H61,怪物强度修正!$A$2:$R$17,COLUMN(W61)-9,FALSE)</f>
        <v>17</v>
      </c>
      <c r="X61" s="2">
        <f>原始值!Q61+VLOOKUP($H61,怪物强度修正!$A$2:$R$17,COLUMN(X61)-9,FALSE)</f>
        <v>20</v>
      </c>
      <c r="Y61" s="2">
        <f>原始值!R61+VLOOKUP($H61,怪物强度修正!$A$2:$R$17,COLUMN(Y61)-9,FALSE)</f>
        <v>75</v>
      </c>
      <c r="Z61" s="2">
        <f>原始值!S61+VLOOKUP($H61,怪物强度修正!$A$2:$R$17,COLUMN(Z61)-9,FALSE)</f>
        <v>300</v>
      </c>
      <c r="AA61" s="2">
        <f>原始值!T61+VLOOKUP($H61,怪物强度修正!$A$2:$R$17,COLUMN(AA61)-9,FALSE)</f>
        <v>50</v>
      </c>
    </row>
    <row r="62" spans="1:27" s="2" customFormat="1">
      <c r="A62" s="2" t="str">
        <f t="shared" ref="A62" si="8">"PhyType.NewNpcType_"&amp;D62</f>
        <v>PhyType.NewNpcType_151</v>
      </c>
      <c r="B62" s="2" t="s">
        <v>137</v>
      </c>
      <c r="C62" s="2">
        <v>151</v>
      </c>
      <c r="D62" s="2">
        <v>151</v>
      </c>
      <c r="G62" s="2" t="s">
        <v>298</v>
      </c>
      <c r="H62" s="2" t="s">
        <v>308</v>
      </c>
      <c r="I62" s="2">
        <v>799</v>
      </c>
      <c r="K62" s="2">
        <f>原始值!D62+VLOOKUP($H62,怪物强度修正!$A$2:$R$17,COLUMN(K62)-9,FALSE)</f>
        <v>40</v>
      </c>
      <c r="L62" s="2">
        <f>原始值!E62+VLOOKUP($H62,怪物强度修正!$A$2:$R$17,COLUMN(L62)-9,FALSE)</f>
        <v>55</v>
      </c>
      <c r="M62" s="2">
        <f t="shared" ref="M62" si="9">K62</f>
        <v>40</v>
      </c>
      <c r="N62" s="2">
        <f t="shared" ref="N62" si="10">L62</f>
        <v>55</v>
      </c>
      <c r="O62" s="2">
        <f>原始值!H62+VLOOKUP($H62,怪物强度修正!$A$2:$R$17,COLUMN(O62)-9,FALSE)</f>
        <v>0</v>
      </c>
      <c r="P62" s="2">
        <f>原始值!I62+VLOOKUP($H62,怪物强度修正!$A$2:$R$17,COLUMN(P62)-9,FALSE)</f>
        <v>0</v>
      </c>
      <c r="Q62" s="2">
        <f>原始值!J62+VLOOKUP($H62,怪物强度修正!$A$2:$R$17,COLUMN(Q62)-9,FALSE)</f>
        <v>19</v>
      </c>
      <c r="R62" s="2">
        <f>原始值!K62+VLOOKUP($H62,怪物强度修正!$A$2:$R$17,COLUMN(R62)-9,FALSE)</f>
        <v>19</v>
      </c>
      <c r="S62" s="2">
        <f>原始值!L62+VLOOKUP($H62,怪物强度修正!$A$2:$R$17,COLUMN(S62)-9,FALSE)</f>
        <v>32</v>
      </c>
      <c r="T62" s="2">
        <f>原始值!M62+VLOOKUP($H62,怪物强度修正!$A$2:$R$17,COLUMN(T62)-9,FALSE)</f>
        <v>32</v>
      </c>
      <c r="U62" s="2">
        <f>原始值!N62+VLOOKUP($H62,怪物强度修正!$A$2:$R$17,COLUMN(U62)-9,FALSE)</f>
        <v>1200</v>
      </c>
      <c r="V62" s="2">
        <v>11</v>
      </c>
      <c r="W62" s="2">
        <f>原始值!P62+VLOOKUP($H62,怪物强度修正!$A$2:$R$17,COLUMN(W62)-9,FALSE)</f>
        <v>25</v>
      </c>
      <c r="X62" s="2">
        <f>原始值!Q62+VLOOKUP($H62,怪物强度修正!$A$2:$R$17,COLUMN(X62)-9,FALSE)</f>
        <v>10</v>
      </c>
      <c r="Y62" s="2">
        <f>原始值!R62+VLOOKUP($H62,怪物强度修正!$A$2:$R$17,COLUMN(Y62)-9,FALSE)</f>
        <v>75</v>
      </c>
      <c r="Z62" s="2">
        <f>原始值!S62+VLOOKUP($H62,怪物强度修正!$A$2:$R$17,COLUMN(Z62)-9,FALSE)</f>
        <v>300</v>
      </c>
      <c r="AA62" s="2">
        <f>原始值!T62+VLOOKUP($H62,怪物强度修正!$A$2:$R$17,COLUMN(AA62)-9,FALSE)</f>
        <v>50</v>
      </c>
    </row>
    <row r="63" spans="1:27" s="2" customFormat="1">
      <c r="A63" s="2" t="str">
        <f t="shared" ref="A63" si="11">"PhyType.NewNpcType_"&amp;D63</f>
        <v>PhyType.NewNpcType_152</v>
      </c>
      <c r="B63" s="2" t="s">
        <v>137</v>
      </c>
      <c r="C63" s="2">
        <v>152</v>
      </c>
      <c r="D63" s="2">
        <v>152</v>
      </c>
      <c r="G63" s="2" t="s">
        <v>310</v>
      </c>
      <c r="H63" s="2" t="s">
        <v>297</v>
      </c>
      <c r="I63" s="2">
        <v>399</v>
      </c>
      <c r="K63" s="2">
        <f>原始值!D63+VLOOKUP($H63,怪物强度修正!$A$2:$R$17,COLUMN(K63)-9,FALSE)</f>
        <v>27</v>
      </c>
      <c r="L63" s="2">
        <f>原始值!E63+VLOOKUP($H63,怪物强度修正!$A$2:$R$17,COLUMN(L63)-9,FALSE)</f>
        <v>39</v>
      </c>
      <c r="M63" s="2">
        <f t="shared" ref="M63" si="12">K63</f>
        <v>27</v>
      </c>
      <c r="N63" s="2">
        <f t="shared" ref="N63" si="13">L63</f>
        <v>39</v>
      </c>
      <c r="O63" s="2">
        <f>原始值!H63+VLOOKUP($H63,怪物强度修正!$A$2:$R$17,COLUMN(O63)-9,FALSE)</f>
        <v>0</v>
      </c>
      <c r="P63" s="2">
        <f>原始值!I63+VLOOKUP($H63,怪物强度修正!$A$2:$R$17,COLUMN(P63)-9,FALSE)</f>
        <v>0</v>
      </c>
      <c r="Q63" s="2">
        <f>原始值!J63+VLOOKUP($H63,怪物强度修正!$A$2:$R$17,COLUMN(Q63)-9,FALSE)</f>
        <v>13</v>
      </c>
      <c r="R63" s="2">
        <f>原始值!K63+VLOOKUP($H63,怪物强度修正!$A$2:$R$17,COLUMN(R63)-9,FALSE)</f>
        <v>13</v>
      </c>
      <c r="S63" s="2">
        <f>原始值!L63+VLOOKUP($H63,怪物强度修正!$A$2:$R$17,COLUMN(S63)-9,FALSE)</f>
        <v>32</v>
      </c>
      <c r="T63" s="2">
        <f>原始值!M63+VLOOKUP($H63,怪物强度修正!$A$2:$R$17,COLUMN(T63)-9,FALSE)</f>
        <v>32</v>
      </c>
      <c r="U63" s="2">
        <f>原始值!N63+VLOOKUP($H63,怪物强度修正!$A$2:$R$17,COLUMN(U63)-9,FALSE)</f>
        <v>500</v>
      </c>
      <c r="V63" s="2">
        <v>12</v>
      </c>
      <c r="W63" s="2">
        <f>原始值!P63+VLOOKUP($H63,怪物强度修正!$A$2:$R$17,COLUMN(W63)-9,FALSE)</f>
        <v>17</v>
      </c>
      <c r="X63" s="2">
        <f>原始值!Q63+VLOOKUP($H63,怪物强度修正!$A$2:$R$17,COLUMN(X63)-9,FALSE)</f>
        <v>17</v>
      </c>
      <c r="Y63" s="2">
        <f>原始值!R63+VLOOKUP($H63,怪物强度修正!$A$2:$R$17,COLUMN(Y63)-9,FALSE)</f>
        <v>75</v>
      </c>
      <c r="Z63" s="2">
        <f>原始值!S63+VLOOKUP($H63,怪物强度修正!$A$2:$R$17,COLUMN(Z63)-9,FALSE)</f>
        <v>300</v>
      </c>
      <c r="AA63" s="2">
        <f>原始值!T63+VLOOKUP($H63,怪物强度修正!$A$2:$R$17,COLUMN(AA63)-9,FALSE)</f>
        <v>50</v>
      </c>
    </row>
    <row r="64" spans="1:27" s="16" customFormat="1">
      <c r="A64" s="16" t="str">
        <f t="shared" si="0"/>
        <v>PhyType.NewNpcType_201</v>
      </c>
      <c r="B64" s="16" t="s">
        <v>137</v>
      </c>
      <c r="C64" s="16">
        <v>201</v>
      </c>
      <c r="D64" s="16">
        <v>201</v>
      </c>
      <c r="G64" s="16" t="str">
        <f t="shared" ref="G64:G95" si="14">G8&amp;"微型"</f>
        <v>稻草人微型</v>
      </c>
      <c r="H64" s="16" t="str">
        <f t="shared" ref="H64:H95" si="15">H8</f>
        <v>边界村</v>
      </c>
      <c r="I64" s="16">
        <f t="shared" ref="I64:I95" si="16">INT((I8+1)*0.6-1)</f>
        <v>5</v>
      </c>
      <c r="K64" s="16">
        <f>原始值!D64+VLOOKUP($H64,怪物强度修正!$A$2:$R$17,COLUMN(K64)-9,FALSE)</f>
        <v>1</v>
      </c>
      <c r="L64" s="16">
        <f>原始值!E64+VLOOKUP($H64,怪物强度修正!$A$2:$R$17,COLUMN(L64)-9,FALSE)</f>
        <v>2</v>
      </c>
      <c r="M64" s="16">
        <f t="shared" si="1"/>
        <v>1</v>
      </c>
      <c r="N64" s="16">
        <f t="shared" si="2"/>
        <v>2</v>
      </c>
      <c r="O64" s="16">
        <f>原始值!H64+VLOOKUP($H64,怪物强度修正!$A$2:$R$17,COLUMN(O64)-9,FALSE)</f>
        <v>0</v>
      </c>
      <c r="P64" s="16">
        <f>原始值!I64+VLOOKUP($H64,怪物强度修正!$A$2:$R$17,COLUMN(P64)-9,FALSE)</f>
        <v>0</v>
      </c>
      <c r="Q64" s="16">
        <f>原始值!J64+VLOOKUP($H64,怪物强度修正!$A$2:$R$17,COLUMN(Q64)-9,FALSE)</f>
        <v>0</v>
      </c>
      <c r="R64" s="16">
        <f>原始值!K64+VLOOKUP($H64,怪物强度修正!$A$2:$R$17,COLUMN(R64)-9,FALSE)</f>
        <v>0</v>
      </c>
      <c r="S64" s="16">
        <f>原始值!L64+VLOOKUP($H64,怪物强度修正!$A$2:$R$17,COLUMN(S64)-9,FALSE)</f>
        <v>0</v>
      </c>
      <c r="T64" s="16">
        <f>原始值!M64+VLOOKUP($H64,怪物强度修正!$A$2:$R$17,COLUMN(T64)-9,FALSE)</f>
        <v>0</v>
      </c>
      <c r="U64" s="16">
        <f>原始值!N64+VLOOKUP($H64,怪物强度修正!$A$2:$R$17,COLUMN(U64)-9,FALSE)</f>
        <v>11</v>
      </c>
      <c r="V64" s="16">
        <v>1</v>
      </c>
      <c r="W64" s="16">
        <f>原始值!P64+VLOOKUP($H64,怪物强度修正!$A$2:$R$17,COLUMN(W64)-9,FALSE)</f>
        <v>5</v>
      </c>
      <c r="X64" s="16">
        <f>原始值!Q64+VLOOKUP($H64,怪物强度修正!$A$2:$R$17,COLUMN(X64)-9,FALSE)</f>
        <v>7</v>
      </c>
      <c r="Y64" s="16">
        <f>原始值!R64+VLOOKUP($H64,怪物强度修正!$A$2:$R$17,COLUMN(Y64)-9,FALSE)</f>
        <v>75</v>
      </c>
      <c r="Z64" s="16">
        <f>原始值!S64+VLOOKUP($H64,怪物强度修正!$A$2:$R$17,COLUMN(Z64)-9,FALSE)</f>
        <v>300</v>
      </c>
      <c r="AA64" s="16">
        <f>原始值!T64+VLOOKUP($H64,怪物强度修正!$A$2:$R$17,COLUMN(AA64)-9,FALSE)</f>
        <v>50</v>
      </c>
    </row>
    <row r="65" spans="1:27" s="16" customFormat="1">
      <c r="A65" s="16" t="str">
        <f t="shared" si="0"/>
        <v>PhyType.NewNpcType_202</v>
      </c>
      <c r="B65" s="16" t="s">
        <v>137</v>
      </c>
      <c r="C65" s="16">
        <v>202</v>
      </c>
      <c r="D65" s="16">
        <v>202</v>
      </c>
      <c r="G65" s="16" t="str">
        <f t="shared" si="14"/>
        <v>钉耙猫微型</v>
      </c>
      <c r="H65" s="16" t="str">
        <f t="shared" si="15"/>
        <v>边界村</v>
      </c>
      <c r="I65" s="16">
        <f t="shared" si="16"/>
        <v>9</v>
      </c>
      <c r="K65" s="16">
        <f>原始值!D65+VLOOKUP($H65,怪物强度修正!$A$2:$R$17,COLUMN(K65)-9,FALSE)</f>
        <v>2</v>
      </c>
      <c r="L65" s="16">
        <f>原始值!E65+VLOOKUP($H65,怪物强度修正!$A$2:$R$17,COLUMN(L65)-9,FALSE)</f>
        <v>3</v>
      </c>
      <c r="M65" s="16">
        <f t="shared" si="1"/>
        <v>2</v>
      </c>
      <c r="N65" s="16">
        <f t="shared" si="2"/>
        <v>3</v>
      </c>
      <c r="O65" s="16">
        <f>原始值!H65+VLOOKUP($H65,怪物强度修正!$A$2:$R$17,COLUMN(O65)-9,FALSE)</f>
        <v>0</v>
      </c>
      <c r="P65" s="16">
        <f>原始值!I65+VLOOKUP($H65,怪物强度修正!$A$2:$R$17,COLUMN(P65)-9,FALSE)</f>
        <v>0</v>
      </c>
      <c r="Q65" s="16">
        <f>原始值!J65+VLOOKUP($H65,怪物强度修正!$A$2:$R$17,COLUMN(Q65)-9,FALSE)</f>
        <v>0</v>
      </c>
      <c r="R65" s="16">
        <f>原始值!K65+VLOOKUP($H65,怪物强度修正!$A$2:$R$17,COLUMN(R65)-9,FALSE)</f>
        <v>0</v>
      </c>
      <c r="S65" s="16">
        <f>原始值!L65+VLOOKUP($H65,怪物强度修正!$A$2:$R$17,COLUMN(S65)-9,FALSE)</f>
        <v>0</v>
      </c>
      <c r="T65" s="16">
        <f>原始值!M65+VLOOKUP($H65,怪物强度修正!$A$2:$R$17,COLUMN(T65)-9,FALSE)</f>
        <v>0</v>
      </c>
      <c r="U65" s="16">
        <f>原始值!N65+VLOOKUP($H65,怪物强度修正!$A$2:$R$17,COLUMN(U65)-9,FALSE)</f>
        <v>16</v>
      </c>
      <c r="V65" s="16">
        <v>1</v>
      </c>
      <c r="W65" s="16">
        <f>原始值!P65+VLOOKUP($H65,怪物强度修正!$A$2:$R$17,COLUMN(W65)-9,FALSE)</f>
        <v>5</v>
      </c>
      <c r="X65" s="16">
        <f>原始值!Q65+VLOOKUP($H65,怪物强度修正!$A$2:$R$17,COLUMN(X65)-9,FALSE)</f>
        <v>7</v>
      </c>
      <c r="Y65" s="16">
        <f>原始值!R65+VLOOKUP($H65,怪物强度修正!$A$2:$R$17,COLUMN(Y65)-9,FALSE)</f>
        <v>75</v>
      </c>
      <c r="Z65" s="16">
        <f>原始值!S65+VLOOKUP($H65,怪物强度修正!$A$2:$R$17,COLUMN(Z65)-9,FALSE)</f>
        <v>300</v>
      </c>
      <c r="AA65" s="16">
        <f>原始值!T65+VLOOKUP($H65,怪物强度修正!$A$2:$R$17,COLUMN(AA65)-9,FALSE)</f>
        <v>50</v>
      </c>
    </row>
    <row r="66" spans="1:27" s="16" customFormat="1">
      <c r="A66" s="16" t="str">
        <f t="shared" si="0"/>
        <v>PhyType.NewNpcType_203</v>
      </c>
      <c r="B66" s="16" t="s">
        <v>137</v>
      </c>
      <c r="C66" s="16">
        <v>203</v>
      </c>
      <c r="D66" s="16">
        <v>203</v>
      </c>
      <c r="G66" s="16" t="str">
        <f t="shared" si="14"/>
        <v>半兽人微型</v>
      </c>
      <c r="H66" s="16" t="str">
        <f t="shared" si="15"/>
        <v>边界村</v>
      </c>
      <c r="I66" s="16">
        <f t="shared" si="16"/>
        <v>14</v>
      </c>
      <c r="K66" s="16">
        <f>原始值!D66+VLOOKUP($H66,怪物强度修正!$A$2:$R$17,COLUMN(K66)-9,FALSE)</f>
        <v>2</v>
      </c>
      <c r="L66" s="16">
        <f>原始值!E66+VLOOKUP($H66,怪物强度修正!$A$2:$R$17,COLUMN(L66)-9,FALSE)</f>
        <v>6</v>
      </c>
      <c r="M66" s="16">
        <f t="shared" si="1"/>
        <v>2</v>
      </c>
      <c r="N66" s="16">
        <f t="shared" si="2"/>
        <v>6</v>
      </c>
      <c r="O66" s="16">
        <f>原始值!H66+VLOOKUP($H66,怪物强度修正!$A$2:$R$17,COLUMN(O66)-9,FALSE)</f>
        <v>0</v>
      </c>
      <c r="P66" s="16">
        <f>原始值!I66+VLOOKUP($H66,怪物强度修正!$A$2:$R$17,COLUMN(P66)-9,FALSE)</f>
        <v>0</v>
      </c>
      <c r="Q66" s="16">
        <f>原始值!J66+VLOOKUP($H66,怪物强度修正!$A$2:$R$17,COLUMN(Q66)-9,FALSE)</f>
        <v>1</v>
      </c>
      <c r="R66" s="16">
        <f>原始值!K66+VLOOKUP($H66,怪物强度修正!$A$2:$R$17,COLUMN(R66)-9,FALSE)</f>
        <v>1</v>
      </c>
      <c r="S66" s="16">
        <f>原始值!L66+VLOOKUP($H66,怪物强度修正!$A$2:$R$17,COLUMN(S66)-9,FALSE)</f>
        <v>0</v>
      </c>
      <c r="T66" s="16">
        <f>原始值!M66+VLOOKUP($H66,怪物强度修正!$A$2:$R$17,COLUMN(T66)-9,FALSE)</f>
        <v>0</v>
      </c>
      <c r="U66" s="16">
        <f>原始值!N66+VLOOKUP($H66,怪物强度修正!$A$2:$R$17,COLUMN(U66)-9,FALSE)</f>
        <v>21</v>
      </c>
      <c r="V66" s="16">
        <v>1</v>
      </c>
      <c r="W66" s="16">
        <f>原始值!P66+VLOOKUP($H66,怪物强度修正!$A$2:$R$17,COLUMN(W66)-9,FALSE)</f>
        <v>6</v>
      </c>
      <c r="X66" s="16">
        <f>原始值!Q66+VLOOKUP($H66,怪物强度修正!$A$2:$R$17,COLUMN(X66)-9,FALSE)</f>
        <v>8</v>
      </c>
      <c r="Y66" s="16">
        <f>原始值!R66+VLOOKUP($H66,怪物强度修正!$A$2:$R$17,COLUMN(Y66)-9,FALSE)</f>
        <v>75</v>
      </c>
      <c r="Z66" s="16">
        <f>原始值!S66+VLOOKUP($H66,怪物强度修正!$A$2:$R$17,COLUMN(Z66)-9,FALSE)</f>
        <v>300</v>
      </c>
      <c r="AA66" s="16">
        <f>原始值!T66+VLOOKUP($H66,怪物强度修正!$A$2:$R$17,COLUMN(AA66)-9,FALSE)</f>
        <v>50</v>
      </c>
    </row>
    <row r="67" spans="1:27" s="16" customFormat="1">
      <c r="A67" s="16" t="str">
        <f t="shared" si="0"/>
        <v>PhyType.NewNpcType_204</v>
      </c>
      <c r="B67" s="16" t="s">
        <v>137</v>
      </c>
      <c r="C67" s="16">
        <v>204</v>
      </c>
      <c r="D67" s="16">
        <v>204</v>
      </c>
      <c r="G67" s="16" t="str">
        <f t="shared" si="14"/>
        <v>半兽人战士微型</v>
      </c>
      <c r="H67" s="16" t="str">
        <f t="shared" si="15"/>
        <v>比奇省</v>
      </c>
      <c r="I67" s="16">
        <f t="shared" si="16"/>
        <v>53</v>
      </c>
      <c r="K67" s="16">
        <f>原始值!D67+VLOOKUP($H67,怪物强度修正!$A$2:$R$17,COLUMN(K67)-9,FALSE)</f>
        <v>4</v>
      </c>
      <c r="L67" s="16">
        <f>原始值!E67+VLOOKUP($H67,怪物强度修正!$A$2:$R$17,COLUMN(L67)-9,FALSE)</f>
        <v>10</v>
      </c>
      <c r="M67" s="16">
        <f t="shared" si="1"/>
        <v>4</v>
      </c>
      <c r="N67" s="16">
        <f t="shared" si="2"/>
        <v>10</v>
      </c>
      <c r="O67" s="16">
        <f>原始值!H67+VLOOKUP($H67,怪物强度修正!$A$2:$R$17,COLUMN(O67)-9,FALSE)</f>
        <v>0</v>
      </c>
      <c r="P67" s="16">
        <f>原始值!I67+VLOOKUP($H67,怪物强度修正!$A$2:$R$17,COLUMN(P67)-9,FALSE)</f>
        <v>0</v>
      </c>
      <c r="Q67" s="16">
        <f>原始值!J67+VLOOKUP($H67,怪物强度修正!$A$2:$R$17,COLUMN(Q67)-9,FALSE)</f>
        <v>3</v>
      </c>
      <c r="R67" s="16">
        <f>原始值!K67+VLOOKUP($H67,怪物强度修正!$A$2:$R$17,COLUMN(R67)-9,FALSE)</f>
        <v>3</v>
      </c>
      <c r="S67" s="16">
        <f>原始值!L67+VLOOKUP($H67,怪物强度修正!$A$2:$R$17,COLUMN(S67)-9,FALSE)</f>
        <v>1</v>
      </c>
      <c r="T67" s="16">
        <f>原始值!M67+VLOOKUP($H67,怪物强度修正!$A$2:$R$17,COLUMN(T67)-9,FALSE)</f>
        <v>1</v>
      </c>
      <c r="U67" s="16">
        <f>原始值!N67+VLOOKUP($H67,怪物强度修正!$A$2:$R$17,COLUMN(U67)-9,FALSE)</f>
        <v>70</v>
      </c>
      <c r="V67" s="16">
        <v>1</v>
      </c>
      <c r="W67" s="16">
        <f>原始值!P67+VLOOKUP($H67,怪物强度修正!$A$2:$R$17,COLUMN(W67)-9,FALSE)</f>
        <v>10</v>
      </c>
      <c r="X67" s="16">
        <f>原始值!Q67+VLOOKUP($H67,怪物强度修正!$A$2:$R$17,COLUMN(X67)-9,FALSE)</f>
        <v>13</v>
      </c>
      <c r="Y67" s="16">
        <f>原始值!R67+VLOOKUP($H67,怪物强度修正!$A$2:$R$17,COLUMN(Y67)-9,FALSE)</f>
        <v>75</v>
      </c>
      <c r="Z67" s="16">
        <f>原始值!S67+VLOOKUP($H67,怪物强度修正!$A$2:$R$17,COLUMN(Z67)-9,FALSE)</f>
        <v>300</v>
      </c>
      <c r="AA67" s="16">
        <f>原始值!T67+VLOOKUP($H67,怪物强度修正!$A$2:$R$17,COLUMN(AA67)-9,FALSE)</f>
        <v>50</v>
      </c>
    </row>
    <row r="68" spans="1:27" s="16" customFormat="1">
      <c r="A68" s="16" t="str">
        <f t="shared" si="0"/>
        <v>PhyType.NewNpcType_2041</v>
      </c>
      <c r="B68" s="16" t="s">
        <v>137</v>
      </c>
      <c r="C68" s="16">
        <v>2041</v>
      </c>
      <c r="D68" s="16">
        <v>2041</v>
      </c>
      <c r="G68" s="16" t="str">
        <f t="shared" si="14"/>
        <v>半兽人战士_BJC微型</v>
      </c>
      <c r="H68" s="16" t="str">
        <f t="shared" si="15"/>
        <v>边界村</v>
      </c>
      <c r="I68" s="16">
        <f t="shared" si="16"/>
        <v>18</v>
      </c>
      <c r="K68" s="16">
        <f>原始值!D68+VLOOKUP($H68,怪物强度修正!$A$2:$R$17,COLUMN(K68)-9,FALSE)</f>
        <v>3</v>
      </c>
      <c r="L68" s="16">
        <f>原始值!E68+VLOOKUP($H68,怪物强度修正!$A$2:$R$17,COLUMN(L68)-9,FALSE)</f>
        <v>7</v>
      </c>
      <c r="M68" s="16">
        <f t="shared" si="1"/>
        <v>3</v>
      </c>
      <c r="N68" s="16">
        <f t="shared" si="2"/>
        <v>7</v>
      </c>
      <c r="O68" s="16">
        <f>原始值!H68+VLOOKUP($H68,怪物强度修正!$A$2:$R$17,COLUMN(O68)-9,FALSE)</f>
        <v>0</v>
      </c>
      <c r="P68" s="16">
        <f>原始值!I68+VLOOKUP($H68,怪物强度修正!$A$2:$R$17,COLUMN(P68)-9,FALSE)</f>
        <v>0</v>
      </c>
      <c r="Q68" s="16">
        <f>原始值!J68+VLOOKUP($H68,怪物强度修正!$A$2:$R$17,COLUMN(Q68)-9,FALSE)</f>
        <v>1</v>
      </c>
      <c r="R68" s="16">
        <f>原始值!K68+VLOOKUP($H68,怪物强度修正!$A$2:$R$17,COLUMN(R68)-9,FALSE)</f>
        <v>1</v>
      </c>
      <c r="S68" s="16">
        <f>原始值!L68+VLOOKUP($H68,怪物强度修正!$A$2:$R$17,COLUMN(S68)-9,FALSE)</f>
        <v>0</v>
      </c>
      <c r="T68" s="16">
        <f>原始值!M68+VLOOKUP($H68,怪物强度修正!$A$2:$R$17,COLUMN(T68)-9,FALSE)</f>
        <v>0</v>
      </c>
      <c r="U68" s="16">
        <f>原始值!N68+VLOOKUP($H68,怪物强度修正!$A$2:$R$17,COLUMN(U68)-9,FALSE)</f>
        <v>25</v>
      </c>
      <c r="V68" s="16">
        <v>1</v>
      </c>
      <c r="W68" s="16">
        <f>原始值!P68+VLOOKUP($H68,怪物强度修正!$A$2:$R$17,COLUMN(W68)-9,FALSE)</f>
        <v>10</v>
      </c>
      <c r="X68" s="16">
        <f>原始值!Q68+VLOOKUP($H68,怪物强度修正!$A$2:$R$17,COLUMN(X68)-9,FALSE)</f>
        <v>9</v>
      </c>
      <c r="Y68" s="16">
        <f>原始值!R68+VLOOKUP($H68,怪物强度修正!$A$2:$R$17,COLUMN(Y68)-9,FALSE)</f>
        <v>75</v>
      </c>
      <c r="Z68" s="16">
        <f>原始值!S68+VLOOKUP($H68,怪物强度修正!$A$2:$R$17,COLUMN(Z68)-9,FALSE)</f>
        <v>300</v>
      </c>
      <c r="AA68" s="16">
        <f>原始值!T68+VLOOKUP($H68,怪物强度修正!$A$2:$R$17,COLUMN(AA68)-9,FALSE)</f>
        <v>50</v>
      </c>
    </row>
    <row r="69" spans="1:27" s="16" customFormat="1">
      <c r="A69" s="16" t="str">
        <f t="shared" si="0"/>
        <v>PhyType.NewNpcType_2042</v>
      </c>
      <c r="B69" s="16" t="s">
        <v>137</v>
      </c>
      <c r="C69" s="16">
        <v>2042</v>
      </c>
      <c r="D69" s="16">
        <v>2042</v>
      </c>
      <c r="G69" s="16" t="str">
        <f t="shared" si="14"/>
        <v>半兽人战士_BQS微型</v>
      </c>
      <c r="H69" s="16" t="str">
        <f t="shared" si="15"/>
        <v>比奇省</v>
      </c>
      <c r="I69" s="16">
        <f t="shared" si="16"/>
        <v>23</v>
      </c>
      <c r="K69" s="16">
        <f>原始值!D69+VLOOKUP($H69,怪物强度修正!$A$2:$R$17,COLUMN(K69)-9,FALSE)</f>
        <v>4</v>
      </c>
      <c r="L69" s="16">
        <f>原始值!E69+VLOOKUP($H69,怪物强度修正!$A$2:$R$17,COLUMN(L69)-9,FALSE)</f>
        <v>9</v>
      </c>
      <c r="M69" s="16">
        <f t="shared" si="1"/>
        <v>4</v>
      </c>
      <c r="N69" s="16">
        <f t="shared" si="2"/>
        <v>9</v>
      </c>
      <c r="O69" s="16">
        <f>原始值!H69+VLOOKUP($H69,怪物强度修正!$A$2:$R$17,COLUMN(O69)-9,FALSE)</f>
        <v>0</v>
      </c>
      <c r="P69" s="16">
        <f>原始值!I69+VLOOKUP($H69,怪物强度修正!$A$2:$R$17,COLUMN(P69)-9,FALSE)</f>
        <v>0</v>
      </c>
      <c r="Q69" s="16">
        <f>原始值!J69+VLOOKUP($H69,怪物强度修正!$A$2:$R$17,COLUMN(Q69)-9,FALSE)</f>
        <v>1</v>
      </c>
      <c r="R69" s="16">
        <f>原始值!K69+VLOOKUP($H69,怪物强度修正!$A$2:$R$17,COLUMN(R69)-9,FALSE)</f>
        <v>1</v>
      </c>
      <c r="S69" s="16">
        <f>原始值!L69+VLOOKUP($H69,怪物强度修正!$A$2:$R$17,COLUMN(S69)-9,FALSE)</f>
        <v>0</v>
      </c>
      <c r="T69" s="16">
        <f>原始值!M69+VLOOKUP($H69,怪物强度修正!$A$2:$R$17,COLUMN(T69)-9,FALSE)</f>
        <v>0</v>
      </c>
      <c r="U69" s="16">
        <f>原始值!N69+VLOOKUP($H69,怪物强度修正!$A$2:$R$17,COLUMN(U69)-9,FALSE)</f>
        <v>32</v>
      </c>
      <c r="V69" s="16">
        <v>1</v>
      </c>
      <c r="W69" s="16">
        <f>原始值!P69+VLOOKUP($H69,怪物强度修正!$A$2:$R$17,COLUMN(W69)-9,FALSE)</f>
        <v>10</v>
      </c>
      <c r="X69" s="16">
        <f>原始值!Q69+VLOOKUP($H69,怪物强度修正!$A$2:$R$17,COLUMN(X69)-9,FALSE)</f>
        <v>10</v>
      </c>
      <c r="Y69" s="16">
        <f>原始值!R69+VLOOKUP($H69,怪物强度修正!$A$2:$R$17,COLUMN(Y69)-9,FALSE)</f>
        <v>75</v>
      </c>
      <c r="Z69" s="16">
        <f>原始值!S69+VLOOKUP($H69,怪物强度修正!$A$2:$R$17,COLUMN(Z69)-9,FALSE)</f>
        <v>300</v>
      </c>
      <c r="AA69" s="16">
        <f>原始值!T69+VLOOKUP($H69,怪物强度修正!$A$2:$R$17,COLUMN(AA69)-9,FALSE)</f>
        <v>50</v>
      </c>
    </row>
    <row r="70" spans="1:27" s="16" customFormat="1">
      <c r="A70" s="16" t="str">
        <f t="shared" si="0"/>
        <v>PhyType.NewNpcType_205</v>
      </c>
      <c r="B70" s="16" t="s">
        <v>137</v>
      </c>
      <c r="C70" s="16">
        <v>205</v>
      </c>
      <c r="D70" s="16">
        <v>205</v>
      </c>
      <c r="G70" s="16" t="str">
        <f t="shared" si="14"/>
        <v>半兽人勇士微型</v>
      </c>
      <c r="H70" s="16" t="str">
        <f t="shared" si="15"/>
        <v>比奇省</v>
      </c>
      <c r="I70" s="16">
        <f t="shared" si="16"/>
        <v>179</v>
      </c>
      <c r="K70" s="16">
        <f>原始值!D70+VLOOKUP($H70,怪物强度修正!$A$2:$R$17,COLUMN(K70)-9,FALSE)</f>
        <v>12</v>
      </c>
      <c r="L70" s="16">
        <f>原始值!E70+VLOOKUP($H70,怪物强度修正!$A$2:$R$17,COLUMN(L70)-9,FALSE)</f>
        <v>26</v>
      </c>
      <c r="M70" s="16">
        <f t="shared" si="1"/>
        <v>12</v>
      </c>
      <c r="N70" s="16">
        <f t="shared" si="2"/>
        <v>26</v>
      </c>
      <c r="O70" s="16">
        <f>原始值!H70+VLOOKUP($H70,怪物强度修正!$A$2:$R$17,COLUMN(O70)-9,FALSE)</f>
        <v>0</v>
      </c>
      <c r="P70" s="16">
        <f>原始值!I70+VLOOKUP($H70,怪物强度修正!$A$2:$R$17,COLUMN(P70)-9,FALSE)</f>
        <v>0</v>
      </c>
      <c r="Q70" s="16">
        <f>原始值!J70+VLOOKUP($H70,怪物强度修正!$A$2:$R$17,COLUMN(Q70)-9,FALSE)</f>
        <v>0</v>
      </c>
      <c r="R70" s="16">
        <f>原始值!K70+VLOOKUP($H70,怪物强度修正!$A$2:$R$17,COLUMN(R70)-9,FALSE)</f>
        <v>0</v>
      </c>
      <c r="S70" s="16">
        <f>原始值!L70+VLOOKUP($H70,怪物强度修正!$A$2:$R$17,COLUMN(S70)-9,FALSE)</f>
        <v>0</v>
      </c>
      <c r="T70" s="16">
        <f>原始值!M70+VLOOKUP($H70,怪物强度修正!$A$2:$R$17,COLUMN(T70)-9,FALSE)</f>
        <v>0</v>
      </c>
      <c r="U70" s="16">
        <f>原始值!N70+VLOOKUP($H70,怪物强度修正!$A$2:$R$17,COLUMN(U70)-9,FALSE)</f>
        <v>210</v>
      </c>
      <c r="V70" s="16">
        <v>1</v>
      </c>
      <c r="W70" s="16">
        <f>原始值!P70+VLOOKUP($H70,怪物强度修正!$A$2:$R$17,COLUMN(W70)-9,FALSE)</f>
        <v>13</v>
      </c>
      <c r="X70" s="16">
        <f>原始值!Q70+VLOOKUP($H70,怪物强度修正!$A$2:$R$17,COLUMN(X70)-9,FALSE)</f>
        <v>13</v>
      </c>
      <c r="Y70" s="16">
        <f>原始值!R70+VLOOKUP($H70,怪物强度修正!$A$2:$R$17,COLUMN(Y70)-9,FALSE)</f>
        <v>75</v>
      </c>
      <c r="Z70" s="16">
        <f>原始值!S70+VLOOKUP($H70,怪物强度修正!$A$2:$R$17,COLUMN(Z70)-9,FALSE)</f>
        <v>300</v>
      </c>
      <c r="AA70" s="16">
        <f>原始值!T70+VLOOKUP($H70,怪物强度修正!$A$2:$R$17,COLUMN(AA70)-9,FALSE)</f>
        <v>50</v>
      </c>
    </row>
    <row r="71" spans="1:27" s="16" customFormat="1">
      <c r="A71" s="16" t="str">
        <f t="shared" si="0"/>
        <v>PhyType.NewNpcType_2051</v>
      </c>
      <c r="B71" s="16" t="s">
        <v>137</v>
      </c>
      <c r="C71" s="16">
        <v>2051</v>
      </c>
      <c r="D71" s="16">
        <v>2051</v>
      </c>
      <c r="G71" s="16" t="str">
        <f t="shared" si="14"/>
        <v>半兽人勇士_BJC微型</v>
      </c>
      <c r="H71" s="16" t="str">
        <f t="shared" si="15"/>
        <v>边界村</v>
      </c>
      <c r="I71" s="16">
        <f t="shared" si="16"/>
        <v>35</v>
      </c>
      <c r="K71" s="16">
        <f>原始值!D71+VLOOKUP($H71,怪物强度修正!$A$2:$R$17,COLUMN(K71)-9,FALSE)</f>
        <v>5</v>
      </c>
      <c r="L71" s="16">
        <f>原始值!E71+VLOOKUP($H71,怪物强度修正!$A$2:$R$17,COLUMN(L71)-9,FALSE)</f>
        <v>10</v>
      </c>
      <c r="M71" s="16">
        <f t="shared" si="1"/>
        <v>5</v>
      </c>
      <c r="N71" s="16">
        <f t="shared" si="2"/>
        <v>10</v>
      </c>
      <c r="O71" s="16">
        <f>原始值!H71+VLOOKUP($H71,怪物强度修正!$A$2:$R$17,COLUMN(O71)-9,FALSE)</f>
        <v>0</v>
      </c>
      <c r="P71" s="16">
        <f>原始值!I71+VLOOKUP($H71,怪物强度修正!$A$2:$R$17,COLUMN(P71)-9,FALSE)</f>
        <v>0</v>
      </c>
      <c r="Q71" s="16">
        <f>原始值!J71+VLOOKUP($H71,怪物强度修正!$A$2:$R$17,COLUMN(Q71)-9,FALSE)</f>
        <v>2</v>
      </c>
      <c r="R71" s="16">
        <f>原始值!K71+VLOOKUP($H71,怪物强度修正!$A$2:$R$17,COLUMN(R71)-9,FALSE)</f>
        <v>2</v>
      </c>
      <c r="S71" s="16">
        <f>原始值!L71+VLOOKUP($H71,怪物强度修正!$A$2:$R$17,COLUMN(S71)-9,FALSE)</f>
        <v>1</v>
      </c>
      <c r="T71" s="16">
        <f>原始值!M71+VLOOKUP($H71,怪物强度修正!$A$2:$R$17,COLUMN(T71)-9,FALSE)</f>
        <v>1</v>
      </c>
      <c r="U71" s="16">
        <f>原始值!N71+VLOOKUP($H71,怪物强度修正!$A$2:$R$17,COLUMN(U71)-9,FALSE)</f>
        <v>46</v>
      </c>
      <c r="V71" s="16">
        <v>1</v>
      </c>
      <c r="W71" s="16">
        <f>原始值!P71+VLOOKUP($H71,怪物强度修正!$A$2:$R$17,COLUMN(W71)-9,FALSE)</f>
        <v>13</v>
      </c>
      <c r="X71" s="16">
        <f>原始值!Q71+VLOOKUP($H71,怪物强度修正!$A$2:$R$17,COLUMN(X71)-9,FALSE)</f>
        <v>10</v>
      </c>
      <c r="Y71" s="16">
        <f>原始值!R71+VLOOKUP($H71,怪物强度修正!$A$2:$R$17,COLUMN(Y71)-9,FALSE)</f>
        <v>75</v>
      </c>
      <c r="Z71" s="16">
        <f>原始值!S71+VLOOKUP($H71,怪物强度修正!$A$2:$R$17,COLUMN(Z71)-9,FALSE)</f>
        <v>300</v>
      </c>
      <c r="AA71" s="16">
        <f>原始值!T71+VLOOKUP($H71,怪物强度修正!$A$2:$R$17,COLUMN(AA71)-9,FALSE)</f>
        <v>50</v>
      </c>
    </row>
    <row r="72" spans="1:27" s="16" customFormat="1">
      <c r="A72" s="16" t="str">
        <f t="shared" si="0"/>
        <v>PhyType.NewNpcType_2052</v>
      </c>
      <c r="B72" s="16" t="s">
        <v>137</v>
      </c>
      <c r="C72" s="16">
        <v>2052</v>
      </c>
      <c r="D72" s="16">
        <v>2052</v>
      </c>
      <c r="G72" s="16" t="str">
        <f t="shared" si="14"/>
        <v>半兽人勇士_BQS微型</v>
      </c>
      <c r="H72" s="16" t="str">
        <f t="shared" si="15"/>
        <v>比奇省</v>
      </c>
      <c r="I72" s="16">
        <f t="shared" si="16"/>
        <v>35</v>
      </c>
      <c r="K72" s="16">
        <f>原始值!D72+VLOOKUP($H72,怪物强度修正!$A$2:$R$17,COLUMN(K72)-9,FALSE)</f>
        <v>5</v>
      </c>
      <c r="L72" s="16">
        <f>原始值!E72+VLOOKUP($H72,怪物强度修正!$A$2:$R$17,COLUMN(L72)-9,FALSE)</f>
        <v>10</v>
      </c>
      <c r="M72" s="16">
        <f t="shared" si="1"/>
        <v>5</v>
      </c>
      <c r="N72" s="16">
        <f t="shared" si="2"/>
        <v>10</v>
      </c>
      <c r="O72" s="16">
        <f>原始值!H72+VLOOKUP($H72,怪物强度修正!$A$2:$R$17,COLUMN(O72)-9,FALSE)</f>
        <v>0</v>
      </c>
      <c r="P72" s="16">
        <f>原始值!I72+VLOOKUP($H72,怪物强度修正!$A$2:$R$17,COLUMN(P72)-9,FALSE)</f>
        <v>0</v>
      </c>
      <c r="Q72" s="16">
        <f>原始值!J72+VLOOKUP($H72,怪物强度修正!$A$2:$R$17,COLUMN(Q72)-9,FALSE)</f>
        <v>2</v>
      </c>
      <c r="R72" s="16">
        <f>原始值!K72+VLOOKUP($H72,怪物强度修正!$A$2:$R$17,COLUMN(R72)-9,FALSE)</f>
        <v>2</v>
      </c>
      <c r="S72" s="16">
        <f>原始值!L72+VLOOKUP($H72,怪物强度修正!$A$2:$R$17,COLUMN(S72)-9,FALSE)</f>
        <v>1</v>
      </c>
      <c r="T72" s="16">
        <f>原始值!M72+VLOOKUP($H72,怪物强度修正!$A$2:$R$17,COLUMN(T72)-9,FALSE)</f>
        <v>1</v>
      </c>
      <c r="U72" s="16">
        <f>原始值!N72+VLOOKUP($H72,怪物强度修正!$A$2:$R$17,COLUMN(U72)-9,FALSE)</f>
        <v>46</v>
      </c>
      <c r="V72" s="16">
        <v>1</v>
      </c>
      <c r="W72" s="16">
        <f>原始值!P72+VLOOKUP($H72,怪物强度修正!$A$2:$R$17,COLUMN(W72)-9,FALSE)</f>
        <v>13</v>
      </c>
      <c r="X72" s="16">
        <f>原始值!Q72+VLOOKUP($H72,怪物强度修正!$A$2:$R$17,COLUMN(X72)-9,FALSE)</f>
        <v>11</v>
      </c>
      <c r="Y72" s="16">
        <f>原始值!R72+VLOOKUP($H72,怪物强度修正!$A$2:$R$17,COLUMN(Y72)-9,FALSE)</f>
        <v>75</v>
      </c>
      <c r="Z72" s="16">
        <f>原始值!S72+VLOOKUP($H72,怪物强度修正!$A$2:$R$17,COLUMN(Z72)-9,FALSE)</f>
        <v>300</v>
      </c>
      <c r="AA72" s="16">
        <f>原始值!T72+VLOOKUP($H72,怪物强度修正!$A$2:$R$17,COLUMN(AA72)-9,FALSE)</f>
        <v>50</v>
      </c>
    </row>
    <row r="73" spans="1:27" s="16" customFormat="1">
      <c r="A73" s="16" t="str">
        <f t="shared" si="0"/>
        <v>PhyType.NewNpcType_206</v>
      </c>
      <c r="B73" s="16" t="s">
        <v>137</v>
      </c>
      <c r="C73" s="16">
        <v>206</v>
      </c>
      <c r="D73" s="16">
        <v>206</v>
      </c>
      <c r="G73" s="16" t="str">
        <f t="shared" si="14"/>
        <v>鹿微型</v>
      </c>
      <c r="H73" s="16" t="str">
        <f t="shared" si="15"/>
        <v>边界村</v>
      </c>
      <c r="I73" s="16">
        <f t="shared" si="16"/>
        <v>8</v>
      </c>
      <c r="K73" s="16">
        <f>原始值!D73+VLOOKUP($H73,怪物强度修正!$A$2:$R$17,COLUMN(K73)-9,FALSE)</f>
        <v>2</v>
      </c>
      <c r="L73" s="16">
        <f>原始值!E73+VLOOKUP($H73,怪物强度修正!$A$2:$R$17,COLUMN(L73)-9,FALSE)</f>
        <v>3</v>
      </c>
      <c r="M73" s="16">
        <f t="shared" si="1"/>
        <v>2</v>
      </c>
      <c r="N73" s="16">
        <f t="shared" si="2"/>
        <v>3</v>
      </c>
      <c r="O73" s="16">
        <f>原始值!H73+VLOOKUP($H73,怪物强度修正!$A$2:$R$17,COLUMN(O73)-9,FALSE)</f>
        <v>0</v>
      </c>
      <c r="P73" s="16">
        <f>原始值!I73+VLOOKUP($H73,怪物强度修正!$A$2:$R$17,COLUMN(P73)-9,FALSE)</f>
        <v>0</v>
      </c>
      <c r="Q73" s="16">
        <f>原始值!J73+VLOOKUP($H73,怪物强度修正!$A$2:$R$17,COLUMN(Q73)-9,FALSE)</f>
        <v>0</v>
      </c>
      <c r="R73" s="16">
        <f>原始值!K73+VLOOKUP($H73,怪物强度修正!$A$2:$R$17,COLUMN(R73)-9,FALSE)</f>
        <v>0</v>
      </c>
      <c r="S73" s="16">
        <f>原始值!L73+VLOOKUP($H73,怪物强度修正!$A$2:$R$17,COLUMN(S73)-9,FALSE)</f>
        <v>0</v>
      </c>
      <c r="T73" s="16">
        <f>原始值!M73+VLOOKUP($H73,怪物强度修正!$A$2:$R$17,COLUMN(T73)-9,FALSE)</f>
        <v>0</v>
      </c>
      <c r="U73" s="16">
        <f>原始值!N73+VLOOKUP($H73,怪物强度修正!$A$2:$R$17,COLUMN(U73)-9,FALSE)</f>
        <v>11</v>
      </c>
      <c r="V73" s="16">
        <v>1</v>
      </c>
      <c r="W73" s="16">
        <f>原始值!P73+VLOOKUP($H73,怪物强度修正!$A$2:$R$17,COLUMN(W73)-9,FALSE)</f>
        <v>12</v>
      </c>
      <c r="X73" s="16">
        <f>原始值!Q73+VLOOKUP($H73,怪物强度修正!$A$2:$R$17,COLUMN(X73)-9,FALSE)</f>
        <v>1</v>
      </c>
      <c r="Y73" s="16">
        <f>原始值!R73+VLOOKUP($H73,怪物强度修正!$A$2:$R$17,COLUMN(Y73)-9,FALSE)</f>
        <v>75</v>
      </c>
      <c r="Z73" s="16">
        <f>原始值!S73+VLOOKUP($H73,怪物强度修正!$A$2:$R$17,COLUMN(Z73)-9,FALSE)</f>
        <v>300</v>
      </c>
      <c r="AA73" s="16">
        <f>原始值!T73+VLOOKUP($H73,怪物强度修正!$A$2:$R$17,COLUMN(AA73)-9,FALSE)</f>
        <v>50</v>
      </c>
    </row>
    <row r="74" spans="1:27" s="16" customFormat="1">
      <c r="A74" s="16" t="str">
        <f t="shared" si="0"/>
        <v>PhyType.NewNpcType_207</v>
      </c>
      <c r="B74" s="16" t="s">
        <v>137</v>
      </c>
      <c r="C74" s="16">
        <v>207</v>
      </c>
      <c r="D74" s="16">
        <v>207</v>
      </c>
      <c r="G74" s="16" t="str">
        <f t="shared" si="14"/>
        <v>残肢僵尸微型</v>
      </c>
      <c r="H74" s="16" t="str">
        <f t="shared" si="15"/>
        <v>比奇矿区</v>
      </c>
      <c r="I74" s="16">
        <f t="shared" si="16"/>
        <v>83</v>
      </c>
      <c r="K74" s="16">
        <f>原始值!D74+VLOOKUP($H74,怪物强度修正!$A$2:$R$17,COLUMN(K74)-9,FALSE)</f>
        <v>4</v>
      </c>
      <c r="L74" s="16">
        <f>原始值!E74+VLOOKUP($H74,怪物强度修正!$A$2:$R$17,COLUMN(L74)-9,FALSE)</f>
        <v>10</v>
      </c>
      <c r="M74" s="16">
        <f t="shared" si="1"/>
        <v>4</v>
      </c>
      <c r="N74" s="16">
        <f t="shared" si="2"/>
        <v>10</v>
      </c>
      <c r="O74" s="16">
        <f>原始值!H74+VLOOKUP($H74,怪物强度修正!$A$2:$R$17,COLUMN(O74)-9,FALSE)</f>
        <v>0</v>
      </c>
      <c r="P74" s="16">
        <f>原始值!I74+VLOOKUP($H74,怪物强度修正!$A$2:$R$17,COLUMN(P74)-9,FALSE)</f>
        <v>0</v>
      </c>
      <c r="Q74" s="16">
        <f>原始值!J74+VLOOKUP($H74,怪物强度修正!$A$2:$R$17,COLUMN(Q74)-9,FALSE)</f>
        <v>2</v>
      </c>
      <c r="R74" s="16">
        <f>原始值!K74+VLOOKUP($H74,怪物强度修正!$A$2:$R$17,COLUMN(R74)-9,FALSE)</f>
        <v>2</v>
      </c>
      <c r="S74" s="16">
        <f>原始值!L74+VLOOKUP($H74,怪物强度修正!$A$2:$R$17,COLUMN(S74)-9,FALSE)</f>
        <v>1</v>
      </c>
      <c r="T74" s="16">
        <f>原始值!M74+VLOOKUP($H74,怪物强度修正!$A$2:$R$17,COLUMN(T74)-9,FALSE)</f>
        <v>1</v>
      </c>
      <c r="U74" s="16">
        <f>原始值!N74+VLOOKUP($H74,怪物强度修正!$A$2:$R$17,COLUMN(U74)-9,FALSE)</f>
        <v>109</v>
      </c>
      <c r="V74" s="16">
        <v>1</v>
      </c>
      <c r="W74" s="16">
        <f>原始值!P74+VLOOKUP($H74,怪物强度修正!$A$2:$R$17,COLUMN(W74)-9,FALSE)</f>
        <v>12</v>
      </c>
      <c r="X74" s="16">
        <f>原始值!Q74+VLOOKUP($H74,怪物强度修正!$A$2:$R$17,COLUMN(X74)-9,FALSE)</f>
        <v>15</v>
      </c>
      <c r="Y74" s="16">
        <f>原始值!R74+VLOOKUP($H74,怪物强度修正!$A$2:$R$17,COLUMN(Y74)-9,FALSE)</f>
        <v>75</v>
      </c>
      <c r="Z74" s="16">
        <f>原始值!S74+VLOOKUP($H74,怪物强度修正!$A$2:$R$17,COLUMN(Z74)-9,FALSE)</f>
        <v>300</v>
      </c>
      <c r="AA74" s="16">
        <f>原始值!T74+VLOOKUP($H74,怪物强度修正!$A$2:$R$17,COLUMN(AA74)-9,FALSE)</f>
        <v>50</v>
      </c>
    </row>
    <row r="75" spans="1:27" s="16" customFormat="1">
      <c r="A75" s="16" t="str">
        <f t="shared" si="0"/>
        <v>PhyType.NewNpcType_208</v>
      </c>
      <c r="B75" s="16" t="s">
        <v>137</v>
      </c>
      <c r="C75" s="16">
        <v>208</v>
      </c>
      <c r="D75" s="16">
        <v>208</v>
      </c>
      <c r="G75" s="16" t="str">
        <f t="shared" si="14"/>
        <v>直立僵尸微型</v>
      </c>
      <c r="H75" s="16" t="str">
        <f t="shared" si="15"/>
        <v>比奇矿区</v>
      </c>
      <c r="I75" s="16">
        <f t="shared" si="16"/>
        <v>89</v>
      </c>
      <c r="K75" s="16">
        <f>原始值!D75+VLOOKUP($H75,怪物强度修正!$A$2:$R$17,COLUMN(K75)-9,FALSE)</f>
        <v>4</v>
      </c>
      <c r="L75" s="16">
        <f>原始值!E75+VLOOKUP($H75,怪物强度修正!$A$2:$R$17,COLUMN(L75)-9,FALSE)</f>
        <v>12</v>
      </c>
      <c r="M75" s="16">
        <f t="shared" si="1"/>
        <v>4</v>
      </c>
      <c r="N75" s="16">
        <f t="shared" si="2"/>
        <v>12</v>
      </c>
      <c r="O75" s="16">
        <f>原始值!H75+VLOOKUP($H75,怪物强度修正!$A$2:$R$17,COLUMN(O75)-9,FALSE)</f>
        <v>0</v>
      </c>
      <c r="P75" s="16">
        <f>原始值!I75+VLOOKUP($H75,怪物强度修正!$A$2:$R$17,COLUMN(P75)-9,FALSE)</f>
        <v>0</v>
      </c>
      <c r="Q75" s="16">
        <f>原始值!J75+VLOOKUP($H75,怪物强度修正!$A$2:$R$17,COLUMN(Q75)-9,FALSE)</f>
        <v>2</v>
      </c>
      <c r="R75" s="16">
        <f>原始值!K75+VLOOKUP($H75,怪物强度修正!$A$2:$R$17,COLUMN(R75)-9,FALSE)</f>
        <v>2</v>
      </c>
      <c r="S75" s="16">
        <f>原始值!L75+VLOOKUP($H75,怪物强度修正!$A$2:$R$17,COLUMN(S75)-9,FALSE)</f>
        <v>1</v>
      </c>
      <c r="T75" s="16">
        <f>原始值!M75+VLOOKUP($H75,怪物强度修正!$A$2:$R$17,COLUMN(T75)-9,FALSE)</f>
        <v>1</v>
      </c>
      <c r="U75" s="16">
        <f>原始值!N75+VLOOKUP($H75,怪物强度修正!$A$2:$R$17,COLUMN(U75)-9,FALSE)</f>
        <v>109</v>
      </c>
      <c r="V75" s="16">
        <v>1</v>
      </c>
      <c r="W75" s="16">
        <f>原始值!P75+VLOOKUP($H75,怪物强度修正!$A$2:$R$17,COLUMN(W75)-9,FALSE)</f>
        <v>12</v>
      </c>
      <c r="X75" s="16">
        <f>原始值!Q75+VLOOKUP($H75,怪物强度修正!$A$2:$R$17,COLUMN(X75)-9,FALSE)</f>
        <v>15</v>
      </c>
      <c r="Y75" s="16">
        <f>原始值!R75+VLOOKUP($H75,怪物强度修正!$A$2:$R$17,COLUMN(Y75)-9,FALSE)</f>
        <v>75</v>
      </c>
      <c r="Z75" s="16">
        <f>原始值!S75+VLOOKUP($H75,怪物强度修正!$A$2:$R$17,COLUMN(Z75)-9,FALSE)</f>
        <v>300</v>
      </c>
      <c r="AA75" s="16">
        <f>原始值!T75+VLOOKUP($H75,怪物强度修正!$A$2:$R$17,COLUMN(AA75)-9,FALSE)</f>
        <v>50</v>
      </c>
    </row>
    <row r="76" spans="1:27" s="16" customFormat="1">
      <c r="A76" s="16" t="str">
        <f t="shared" si="0"/>
        <v>PhyType.NewNpcType_209</v>
      </c>
      <c r="B76" s="16" t="s">
        <v>137</v>
      </c>
      <c r="C76" s="16">
        <v>209</v>
      </c>
      <c r="D76" s="16">
        <v>209</v>
      </c>
      <c r="G76" s="16" t="str">
        <f t="shared" si="14"/>
        <v>和尚僵尸微型</v>
      </c>
      <c r="H76" s="16" t="str">
        <f t="shared" si="15"/>
        <v>比奇矿区</v>
      </c>
      <c r="I76" s="16">
        <f t="shared" si="16"/>
        <v>95</v>
      </c>
      <c r="K76" s="16">
        <f>原始值!D76+VLOOKUP($H76,怪物强度修正!$A$2:$R$17,COLUMN(K76)-9,FALSE)</f>
        <v>6</v>
      </c>
      <c r="L76" s="16">
        <f>原始值!E76+VLOOKUP($H76,怪物强度修正!$A$2:$R$17,COLUMN(L76)-9,FALSE)</f>
        <v>12</v>
      </c>
      <c r="M76" s="16">
        <f t="shared" si="1"/>
        <v>6</v>
      </c>
      <c r="N76" s="16">
        <f t="shared" si="2"/>
        <v>12</v>
      </c>
      <c r="O76" s="16">
        <f>原始值!H76+VLOOKUP($H76,怪物强度修正!$A$2:$R$17,COLUMN(O76)-9,FALSE)</f>
        <v>0</v>
      </c>
      <c r="P76" s="16">
        <f>原始值!I76+VLOOKUP($H76,怪物强度修正!$A$2:$R$17,COLUMN(P76)-9,FALSE)</f>
        <v>0</v>
      </c>
      <c r="Q76" s="16">
        <f>原始值!J76+VLOOKUP($H76,怪物强度修正!$A$2:$R$17,COLUMN(Q76)-9,FALSE)</f>
        <v>2</v>
      </c>
      <c r="R76" s="16">
        <f>原始值!K76+VLOOKUP($H76,怪物强度修正!$A$2:$R$17,COLUMN(R76)-9,FALSE)</f>
        <v>2</v>
      </c>
      <c r="S76" s="16">
        <f>原始值!L76+VLOOKUP($H76,怪物强度修正!$A$2:$R$17,COLUMN(S76)-9,FALSE)</f>
        <v>1</v>
      </c>
      <c r="T76" s="16">
        <f>原始值!M76+VLOOKUP($H76,怪物强度修正!$A$2:$R$17,COLUMN(T76)-9,FALSE)</f>
        <v>1</v>
      </c>
      <c r="U76" s="16">
        <f>原始值!N76+VLOOKUP($H76,怪物强度修正!$A$2:$R$17,COLUMN(U76)-9,FALSE)</f>
        <v>109</v>
      </c>
      <c r="V76" s="16">
        <v>1</v>
      </c>
      <c r="W76" s="16">
        <f>原始值!P76+VLOOKUP($H76,怪物强度修正!$A$2:$R$17,COLUMN(W76)-9,FALSE)</f>
        <v>12</v>
      </c>
      <c r="X76" s="16">
        <f>原始值!Q76+VLOOKUP($H76,怪物强度修正!$A$2:$R$17,COLUMN(X76)-9,FALSE)</f>
        <v>15</v>
      </c>
      <c r="Y76" s="16">
        <f>原始值!R76+VLOOKUP($H76,怪物强度修正!$A$2:$R$17,COLUMN(Y76)-9,FALSE)</f>
        <v>75</v>
      </c>
      <c r="Z76" s="16">
        <f>原始值!S76+VLOOKUP($H76,怪物强度修正!$A$2:$R$17,COLUMN(Z76)-9,FALSE)</f>
        <v>300</v>
      </c>
      <c r="AA76" s="16">
        <f>原始值!T76+VLOOKUP($H76,怪物强度修正!$A$2:$R$17,COLUMN(AA76)-9,FALSE)</f>
        <v>50</v>
      </c>
    </row>
    <row r="77" spans="1:27" s="16" customFormat="1">
      <c r="A77" s="16" t="str">
        <f t="shared" si="0"/>
        <v>PhyType.NewNpcType_210</v>
      </c>
      <c r="B77" s="16" t="s">
        <v>137</v>
      </c>
      <c r="C77" s="16">
        <v>210</v>
      </c>
      <c r="D77" s="16">
        <v>210</v>
      </c>
      <c r="G77" s="16" t="str">
        <f t="shared" si="14"/>
        <v>道士僵尸微型</v>
      </c>
      <c r="H77" s="16" t="str">
        <f t="shared" si="15"/>
        <v>比奇矿区</v>
      </c>
      <c r="I77" s="16">
        <f t="shared" si="16"/>
        <v>101</v>
      </c>
      <c r="K77" s="16">
        <f>原始值!D77+VLOOKUP($H77,怪物强度修正!$A$2:$R$17,COLUMN(K77)-9,FALSE)</f>
        <v>6</v>
      </c>
      <c r="L77" s="16">
        <f>原始值!E77+VLOOKUP($H77,怪物强度修正!$A$2:$R$17,COLUMN(L77)-9,FALSE)</f>
        <v>14</v>
      </c>
      <c r="M77" s="16">
        <f t="shared" si="1"/>
        <v>6</v>
      </c>
      <c r="N77" s="16">
        <f t="shared" si="2"/>
        <v>14</v>
      </c>
      <c r="O77" s="16">
        <f>原始值!H77+VLOOKUP($H77,怪物强度修正!$A$2:$R$17,COLUMN(O77)-9,FALSE)</f>
        <v>0</v>
      </c>
      <c r="P77" s="16">
        <f>原始值!I77+VLOOKUP($H77,怪物强度修正!$A$2:$R$17,COLUMN(P77)-9,FALSE)</f>
        <v>0</v>
      </c>
      <c r="Q77" s="16">
        <f>原始值!J77+VLOOKUP($H77,怪物强度修正!$A$2:$R$17,COLUMN(Q77)-9,FALSE)</f>
        <v>2</v>
      </c>
      <c r="R77" s="16">
        <f>原始值!K77+VLOOKUP($H77,怪物强度修正!$A$2:$R$17,COLUMN(R77)-9,FALSE)</f>
        <v>2</v>
      </c>
      <c r="S77" s="16">
        <f>原始值!L77+VLOOKUP($H77,怪物强度修正!$A$2:$R$17,COLUMN(S77)-9,FALSE)</f>
        <v>2</v>
      </c>
      <c r="T77" s="16">
        <f>原始值!M77+VLOOKUP($H77,怪物强度修正!$A$2:$R$17,COLUMN(T77)-9,FALSE)</f>
        <v>2</v>
      </c>
      <c r="U77" s="16">
        <f>原始值!N77+VLOOKUP($H77,怪物强度修正!$A$2:$R$17,COLUMN(U77)-9,FALSE)</f>
        <v>109</v>
      </c>
      <c r="V77" s="16">
        <v>1</v>
      </c>
      <c r="W77" s="16">
        <f>原始值!P77+VLOOKUP($H77,怪物强度修正!$A$2:$R$17,COLUMN(W77)-9,FALSE)</f>
        <v>12</v>
      </c>
      <c r="X77" s="16">
        <f>原始值!Q77+VLOOKUP($H77,怪物强度修正!$A$2:$R$17,COLUMN(X77)-9,FALSE)</f>
        <v>15</v>
      </c>
      <c r="Y77" s="16">
        <f>原始值!R77+VLOOKUP($H77,怪物强度修正!$A$2:$R$17,COLUMN(Y77)-9,FALSE)</f>
        <v>75</v>
      </c>
      <c r="Z77" s="16">
        <f>原始值!S77+VLOOKUP($H77,怪物强度修正!$A$2:$R$17,COLUMN(Z77)-9,FALSE)</f>
        <v>300</v>
      </c>
      <c r="AA77" s="16">
        <f>原始值!T77+VLOOKUP($H77,怪物强度修正!$A$2:$R$17,COLUMN(AA77)-9,FALSE)</f>
        <v>50</v>
      </c>
    </row>
    <row r="78" spans="1:27" s="16" customFormat="1">
      <c r="A78" s="16" t="str">
        <f t="shared" si="0"/>
        <v>PhyType.NewNpcType_211</v>
      </c>
      <c r="B78" s="16" t="s">
        <v>137</v>
      </c>
      <c r="C78" s="16">
        <v>211</v>
      </c>
      <c r="D78" s="16">
        <v>211</v>
      </c>
      <c r="G78" s="16" t="str">
        <f t="shared" si="14"/>
        <v>矿区小蝙蝠微型</v>
      </c>
      <c r="H78" s="16" t="str">
        <f t="shared" si="15"/>
        <v>比奇矿区</v>
      </c>
      <c r="I78" s="16">
        <f t="shared" si="16"/>
        <v>14</v>
      </c>
      <c r="K78" s="16">
        <f>原始值!D78+VLOOKUP($H78,怪物强度修正!$A$2:$R$17,COLUMN(K78)-9,FALSE)</f>
        <v>3</v>
      </c>
      <c r="L78" s="16">
        <f>原始值!E78+VLOOKUP($H78,怪物强度修正!$A$2:$R$17,COLUMN(L78)-9,FALSE)</f>
        <v>5</v>
      </c>
      <c r="M78" s="16">
        <f t="shared" si="1"/>
        <v>3</v>
      </c>
      <c r="N78" s="16">
        <f t="shared" si="2"/>
        <v>5</v>
      </c>
      <c r="O78" s="16">
        <f>原始值!H78+VLOOKUP($H78,怪物强度修正!$A$2:$R$17,COLUMN(O78)-9,FALSE)</f>
        <v>0</v>
      </c>
      <c r="P78" s="16">
        <f>原始值!I78+VLOOKUP($H78,怪物强度修正!$A$2:$R$17,COLUMN(P78)-9,FALSE)</f>
        <v>0</v>
      </c>
      <c r="Q78" s="16">
        <f>原始值!J78+VLOOKUP($H78,怪物强度修正!$A$2:$R$17,COLUMN(Q78)-9,FALSE)</f>
        <v>2</v>
      </c>
      <c r="R78" s="16">
        <f>原始值!K78+VLOOKUP($H78,怪物强度修正!$A$2:$R$17,COLUMN(R78)-9,FALSE)</f>
        <v>2</v>
      </c>
      <c r="S78" s="16">
        <f>原始值!L78+VLOOKUP($H78,怪物强度修正!$A$2:$R$17,COLUMN(S78)-9,FALSE)</f>
        <v>0</v>
      </c>
      <c r="T78" s="16">
        <f>原始值!M78+VLOOKUP($H78,怪物强度修正!$A$2:$R$17,COLUMN(T78)-9,FALSE)</f>
        <v>0</v>
      </c>
      <c r="U78" s="16">
        <f>原始值!N78+VLOOKUP($H78,怪物强度修正!$A$2:$R$17,COLUMN(U78)-9,FALSE)</f>
        <v>18</v>
      </c>
      <c r="V78" s="16">
        <v>1</v>
      </c>
      <c r="W78" s="16">
        <f>原始值!P78+VLOOKUP($H78,怪物强度修正!$A$2:$R$17,COLUMN(W78)-9,FALSE)</f>
        <v>11</v>
      </c>
      <c r="X78" s="16">
        <f>原始值!Q78+VLOOKUP($H78,怪物强度修正!$A$2:$R$17,COLUMN(X78)-9,FALSE)</f>
        <v>25</v>
      </c>
      <c r="Y78" s="16">
        <f>原始值!R78+VLOOKUP($H78,怪物强度修正!$A$2:$R$17,COLUMN(Y78)-9,FALSE)</f>
        <v>75</v>
      </c>
      <c r="Z78" s="16">
        <f>原始值!S78+VLOOKUP($H78,怪物强度修正!$A$2:$R$17,COLUMN(Z78)-9,FALSE)</f>
        <v>300</v>
      </c>
      <c r="AA78" s="16">
        <f>原始值!T78+VLOOKUP($H78,怪物强度修正!$A$2:$R$17,COLUMN(AA78)-9,FALSE)</f>
        <v>50</v>
      </c>
    </row>
    <row r="79" spans="1:27" s="16" customFormat="1">
      <c r="A79" s="16" t="str">
        <f t="shared" si="0"/>
        <v>PhyType.NewNpcType_212</v>
      </c>
      <c r="B79" s="16" t="s">
        <v>137</v>
      </c>
      <c r="C79" s="16">
        <v>212</v>
      </c>
      <c r="D79" s="16">
        <v>212</v>
      </c>
      <c r="G79" s="16" t="str">
        <f t="shared" si="14"/>
        <v>暗黑战士微型</v>
      </c>
      <c r="H79" s="16" t="str">
        <f t="shared" si="15"/>
        <v>沃玛寺庙</v>
      </c>
      <c r="I79" s="16">
        <f t="shared" si="16"/>
        <v>119</v>
      </c>
      <c r="K79" s="16">
        <f>原始值!D79+VLOOKUP($H79,怪物强度修正!$A$2:$R$17,COLUMN(K79)-9,FALSE)</f>
        <v>5</v>
      </c>
      <c r="L79" s="16">
        <f>原始值!E79+VLOOKUP($H79,怪物强度修正!$A$2:$R$17,COLUMN(L79)-9,FALSE)</f>
        <v>11</v>
      </c>
      <c r="M79" s="16">
        <f t="shared" si="1"/>
        <v>5</v>
      </c>
      <c r="N79" s="16">
        <f t="shared" si="2"/>
        <v>11</v>
      </c>
      <c r="O79" s="16">
        <f>原始值!H79+VLOOKUP($H79,怪物强度修正!$A$2:$R$17,COLUMN(O79)-9,FALSE)</f>
        <v>0</v>
      </c>
      <c r="P79" s="16">
        <f>原始值!I79+VLOOKUP($H79,怪物强度修正!$A$2:$R$17,COLUMN(P79)-9,FALSE)</f>
        <v>0</v>
      </c>
      <c r="Q79" s="16">
        <f>原始值!J79+VLOOKUP($H79,怪物强度修正!$A$2:$R$17,COLUMN(Q79)-9,FALSE)</f>
        <v>3</v>
      </c>
      <c r="R79" s="16">
        <f>原始值!K79+VLOOKUP($H79,怪物强度修正!$A$2:$R$17,COLUMN(R79)-9,FALSE)</f>
        <v>3</v>
      </c>
      <c r="S79" s="16">
        <f>原始值!L79+VLOOKUP($H79,怪物强度修正!$A$2:$R$17,COLUMN(S79)-9,FALSE)</f>
        <v>2</v>
      </c>
      <c r="T79" s="16">
        <f>原始值!M79+VLOOKUP($H79,怪物强度修正!$A$2:$R$17,COLUMN(T79)-9,FALSE)</f>
        <v>2</v>
      </c>
      <c r="U79" s="16">
        <f>原始值!N79+VLOOKUP($H79,怪物强度修正!$A$2:$R$17,COLUMN(U79)-9,FALSE)</f>
        <v>116</v>
      </c>
      <c r="V79" s="16">
        <v>1</v>
      </c>
      <c r="W79" s="16">
        <f>原始值!P79+VLOOKUP($H79,怪物强度修正!$A$2:$R$17,COLUMN(W79)-9,FALSE)</f>
        <v>15</v>
      </c>
      <c r="X79" s="16">
        <f>原始值!Q79+VLOOKUP($H79,怪物强度修正!$A$2:$R$17,COLUMN(X79)-9,FALSE)</f>
        <v>15</v>
      </c>
      <c r="Y79" s="16">
        <f>原始值!R79+VLOOKUP($H79,怪物强度修正!$A$2:$R$17,COLUMN(Y79)-9,FALSE)</f>
        <v>75</v>
      </c>
      <c r="Z79" s="16">
        <f>原始值!S79+VLOOKUP($H79,怪物强度修正!$A$2:$R$17,COLUMN(Z79)-9,FALSE)</f>
        <v>300</v>
      </c>
      <c r="AA79" s="16">
        <f>原始值!T79+VLOOKUP($H79,怪物强度修正!$A$2:$R$17,COLUMN(AA79)-9,FALSE)</f>
        <v>50</v>
      </c>
    </row>
    <row r="80" spans="1:27" s="16" customFormat="1">
      <c r="A80" s="16" t="str">
        <f t="shared" si="0"/>
        <v>PhyType.NewNpcType_213</v>
      </c>
      <c r="B80" s="16" t="s">
        <v>137</v>
      </c>
      <c r="C80" s="16">
        <v>213</v>
      </c>
      <c r="D80" s="16">
        <v>213</v>
      </c>
      <c r="G80" s="16" t="str">
        <f t="shared" si="14"/>
        <v>沃玛战士微型</v>
      </c>
      <c r="H80" s="16" t="str">
        <f t="shared" si="15"/>
        <v>沃玛寺庙</v>
      </c>
      <c r="I80" s="16">
        <f t="shared" si="16"/>
        <v>155</v>
      </c>
      <c r="K80" s="16">
        <f>原始值!D80+VLOOKUP($H80,怪物强度修正!$A$2:$R$17,COLUMN(K80)-9,FALSE)</f>
        <v>9</v>
      </c>
      <c r="L80" s="16">
        <f>原始值!E80+VLOOKUP($H80,怪物强度修正!$A$2:$R$17,COLUMN(L80)-9,FALSE)</f>
        <v>20</v>
      </c>
      <c r="M80" s="16">
        <f t="shared" si="1"/>
        <v>9</v>
      </c>
      <c r="N80" s="16">
        <f t="shared" si="2"/>
        <v>20</v>
      </c>
      <c r="O80" s="16">
        <f>原始值!H80+VLOOKUP($H80,怪物强度修正!$A$2:$R$17,COLUMN(O80)-9,FALSE)</f>
        <v>0</v>
      </c>
      <c r="P80" s="16">
        <f>原始值!I80+VLOOKUP($H80,怪物强度修正!$A$2:$R$17,COLUMN(P80)-9,FALSE)</f>
        <v>0</v>
      </c>
      <c r="Q80" s="16">
        <f>原始值!J80+VLOOKUP($H80,怪物强度修正!$A$2:$R$17,COLUMN(Q80)-9,FALSE)</f>
        <v>3</v>
      </c>
      <c r="R80" s="16">
        <f>原始值!K80+VLOOKUP($H80,怪物强度修正!$A$2:$R$17,COLUMN(R80)-9,FALSE)</f>
        <v>3</v>
      </c>
      <c r="S80" s="16">
        <f>原始值!L80+VLOOKUP($H80,怪物强度修正!$A$2:$R$17,COLUMN(S80)-9,FALSE)</f>
        <v>2</v>
      </c>
      <c r="T80" s="16">
        <f>原始值!M80+VLOOKUP($H80,怪物强度修正!$A$2:$R$17,COLUMN(T80)-9,FALSE)</f>
        <v>2</v>
      </c>
      <c r="U80" s="16">
        <f>原始值!N80+VLOOKUP($H80,怪物强度修正!$A$2:$R$17,COLUMN(U80)-9,FALSE)</f>
        <v>186</v>
      </c>
      <c r="V80" s="16">
        <v>1</v>
      </c>
      <c r="W80" s="16">
        <f>原始值!P80+VLOOKUP($H80,怪物强度修正!$A$2:$R$17,COLUMN(W80)-9,FALSE)</f>
        <v>13</v>
      </c>
      <c r="X80" s="16">
        <f>原始值!Q80+VLOOKUP($H80,怪物强度修正!$A$2:$R$17,COLUMN(X80)-9,FALSE)</f>
        <v>15</v>
      </c>
      <c r="Y80" s="16">
        <f>原始值!R80+VLOOKUP($H80,怪物强度修正!$A$2:$R$17,COLUMN(Y80)-9,FALSE)</f>
        <v>75</v>
      </c>
      <c r="Z80" s="16">
        <f>原始值!S80+VLOOKUP($H80,怪物强度修正!$A$2:$R$17,COLUMN(Z80)-9,FALSE)</f>
        <v>300</v>
      </c>
      <c r="AA80" s="16">
        <f>原始值!T80+VLOOKUP($H80,怪物强度修正!$A$2:$R$17,COLUMN(AA80)-9,FALSE)</f>
        <v>50</v>
      </c>
    </row>
    <row r="81" spans="1:27" s="16" customFormat="1">
      <c r="A81" s="16" t="str">
        <f t="shared" si="0"/>
        <v>PhyType.NewNpcType_214</v>
      </c>
      <c r="B81" s="16" t="s">
        <v>137</v>
      </c>
      <c r="C81" s="16">
        <v>214</v>
      </c>
      <c r="D81" s="16">
        <v>214</v>
      </c>
      <c r="G81" s="16" t="str">
        <f t="shared" si="14"/>
        <v>沃玛勇士微型</v>
      </c>
      <c r="H81" s="16" t="str">
        <f t="shared" si="15"/>
        <v>沃玛寺庙</v>
      </c>
      <c r="I81" s="16">
        <f t="shared" si="16"/>
        <v>167</v>
      </c>
      <c r="K81" s="16">
        <f>原始值!D81+VLOOKUP($H81,怪物强度修正!$A$2:$R$17,COLUMN(K81)-9,FALSE)</f>
        <v>11</v>
      </c>
      <c r="L81" s="16">
        <f>原始值!E81+VLOOKUP($H81,怪物强度修正!$A$2:$R$17,COLUMN(L81)-9,FALSE)</f>
        <v>20</v>
      </c>
      <c r="M81" s="16">
        <f t="shared" si="1"/>
        <v>11</v>
      </c>
      <c r="N81" s="16">
        <f t="shared" si="2"/>
        <v>20</v>
      </c>
      <c r="O81" s="16">
        <f>原始值!H81+VLOOKUP($H81,怪物强度修正!$A$2:$R$17,COLUMN(O81)-9,FALSE)</f>
        <v>0</v>
      </c>
      <c r="P81" s="16">
        <f>原始值!I81+VLOOKUP($H81,怪物强度修正!$A$2:$R$17,COLUMN(P81)-9,FALSE)</f>
        <v>0</v>
      </c>
      <c r="Q81" s="16">
        <f>原始值!J81+VLOOKUP($H81,怪物强度修正!$A$2:$R$17,COLUMN(Q81)-9,FALSE)</f>
        <v>3</v>
      </c>
      <c r="R81" s="16">
        <f>原始值!K81+VLOOKUP($H81,怪物强度修正!$A$2:$R$17,COLUMN(R81)-9,FALSE)</f>
        <v>3</v>
      </c>
      <c r="S81" s="16">
        <f>原始值!L81+VLOOKUP($H81,怪物强度修正!$A$2:$R$17,COLUMN(S81)-9,FALSE)</f>
        <v>2</v>
      </c>
      <c r="T81" s="16">
        <f>原始值!M81+VLOOKUP($H81,怪物强度修正!$A$2:$R$17,COLUMN(T81)-9,FALSE)</f>
        <v>2</v>
      </c>
      <c r="U81" s="16">
        <f>原始值!N81+VLOOKUP($H81,怪物强度修正!$A$2:$R$17,COLUMN(U81)-9,FALSE)</f>
        <v>200</v>
      </c>
      <c r="V81" s="16">
        <v>1</v>
      </c>
      <c r="W81" s="16">
        <f>原始值!P81+VLOOKUP($H81,怪物强度修正!$A$2:$R$17,COLUMN(W81)-9,FALSE)</f>
        <v>13</v>
      </c>
      <c r="X81" s="16">
        <f>原始值!Q81+VLOOKUP($H81,怪物强度修正!$A$2:$R$17,COLUMN(X81)-9,FALSE)</f>
        <v>15</v>
      </c>
      <c r="Y81" s="16">
        <f>原始值!R81+VLOOKUP($H81,怪物强度修正!$A$2:$R$17,COLUMN(Y81)-9,FALSE)</f>
        <v>75</v>
      </c>
      <c r="Z81" s="16">
        <f>原始值!S81+VLOOKUP($H81,怪物强度修正!$A$2:$R$17,COLUMN(Z81)-9,FALSE)</f>
        <v>300</v>
      </c>
      <c r="AA81" s="16">
        <f>原始值!T81+VLOOKUP($H81,怪物强度修正!$A$2:$R$17,COLUMN(AA81)-9,FALSE)</f>
        <v>50</v>
      </c>
    </row>
    <row r="82" spans="1:27" s="16" customFormat="1">
      <c r="A82" s="16" t="str">
        <f t="shared" si="0"/>
        <v>PhyType.NewNpcType_215</v>
      </c>
      <c r="B82" s="16" t="s">
        <v>137</v>
      </c>
      <c r="C82" s="16">
        <v>215</v>
      </c>
      <c r="D82" s="16">
        <v>215</v>
      </c>
      <c r="G82" s="16" t="str">
        <f t="shared" si="14"/>
        <v>沃玛战将微型</v>
      </c>
      <c r="H82" s="16" t="str">
        <f t="shared" si="15"/>
        <v>沃玛寺庙</v>
      </c>
      <c r="I82" s="16">
        <f t="shared" si="16"/>
        <v>167</v>
      </c>
      <c r="K82" s="16">
        <f>原始值!D82+VLOOKUP($H82,怪物强度修正!$A$2:$R$17,COLUMN(K82)-9,FALSE)</f>
        <v>10</v>
      </c>
      <c r="L82" s="16">
        <f>原始值!E82+VLOOKUP($H82,怪物强度修正!$A$2:$R$17,COLUMN(L82)-9,FALSE)</f>
        <v>21</v>
      </c>
      <c r="M82" s="16">
        <f t="shared" si="1"/>
        <v>10</v>
      </c>
      <c r="N82" s="16">
        <f t="shared" si="2"/>
        <v>21</v>
      </c>
      <c r="O82" s="16">
        <f>原始值!H82+VLOOKUP($H82,怪物强度修正!$A$2:$R$17,COLUMN(O82)-9,FALSE)</f>
        <v>0</v>
      </c>
      <c r="P82" s="16">
        <f>原始值!I82+VLOOKUP($H82,怪物强度修正!$A$2:$R$17,COLUMN(P82)-9,FALSE)</f>
        <v>0</v>
      </c>
      <c r="Q82" s="16">
        <f>原始值!J82+VLOOKUP($H82,怪物强度修正!$A$2:$R$17,COLUMN(Q82)-9,FALSE)</f>
        <v>3</v>
      </c>
      <c r="R82" s="16">
        <f>原始值!K82+VLOOKUP($H82,怪物强度修正!$A$2:$R$17,COLUMN(R82)-9,FALSE)</f>
        <v>3</v>
      </c>
      <c r="S82" s="16">
        <f>原始值!L82+VLOOKUP($H82,怪物强度修正!$A$2:$R$17,COLUMN(S82)-9,FALSE)</f>
        <v>2</v>
      </c>
      <c r="T82" s="16">
        <f>原始值!M82+VLOOKUP($H82,怪物强度修正!$A$2:$R$17,COLUMN(T82)-9,FALSE)</f>
        <v>2</v>
      </c>
      <c r="U82" s="16">
        <f>原始值!N82+VLOOKUP($H82,怪物强度修正!$A$2:$R$17,COLUMN(U82)-9,FALSE)</f>
        <v>200</v>
      </c>
      <c r="V82" s="16">
        <v>1</v>
      </c>
      <c r="W82" s="16">
        <f>原始值!P82+VLOOKUP($H82,怪物强度修正!$A$2:$R$17,COLUMN(W82)-9,FALSE)</f>
        <v>13</v>
      </c>
      <c r="X82" s="16">
        <f>原始值!Q82+VLOOKUP($H82,怪物强度修正!$A$2:$R$17,COLUMN(X82)-9,FALSE)</f>
        <v>15</v>
      </c>
      <c r="Y82" s="16">
        <f>原始值!R82+VLOOKUP($H82,怪物强度修正!$A$2:$R$17,COLUMN(Y82)-9,FALSE)</f>
        <v>75</v>
      </c>
      <c r="Z82" s="16">
        <f>原始值!S82+VLOOKUP($H82,怪物强度修正!$A$2:$R$17,COLUMN(Z82)-9,FALSE)</f>
        <v>300</v>
      </c>
      <c r="AA82" s="16">
        <f>原始值!T82+VLOOKUP($H82,怪物强度修正!$A$2:$R$17,COLUMN(AA82)-9,FALSE)</f>
        <v>50</v>
      </c>
    </row>
    <row r="83" spans="1:27" s="16" customFormat="1">
      <c r="A83" s="16" t="str">
        <f t="shared" si="0"/>
        <v>PhyType.NewNpcType_216</v>
      </c>
      <c r="B83" s="16" t="s">
        <v>137</v>
      </c>
      <c r="C83" s="16">
        <v>216</v>
      </c>
      <c r="D83" s="16">
        <v>216</v>
      </c>
      <c r="G83" s="16" t="str">
        <f t="shared" si="14"/>
        <v>火焰沃玛微型</v>
      </c>
      <c r="H83" s="16" t="str">
        <f t="shared" si="15"/>
        <v>沃玛寺庙</v>
      </c>
      <c r="I83" s="16">
        <f t="shared" si="16"/>
        <v>173</v>
      </c>
      <c r="K83" s="16">
        <f>原始值!D83+VLOOKUP($H83,怪物强度修正!$A$2:$R$17,COLUMN(K83)-9,FALSE)</f>
        <v>9</v>
      </c>
      <c r="L83" s="16">
        <f>原始值!E83+VLOOKUP($H83,怪物强度修正!$A$2:$R$17,COLUMN(L83)-9,FALSE)</f>
        <v>19</v>
      </c>
      <c r="M83" s="16">
        <f t="shared" si="1"/>
        <v>9</v>
      </c>
      <c r="N83" s="16">
        <f t="shared" si="2"/>
        <v>19</v>
      </c>
      <c r="O83" s="16">
        <f>原始值!H83+VLOOKUP($H83,怪物强度修正!$A$2:$R$17,COLUMN(O83)-9,FALSE)</f>
        <v>0</v>
      </c>
      <c r="P83" s="16">
        <f>原始值!I83+VLOOKUP($H83,怪物强度修正!$A$2:$R$17,COLUMN(P83)-9,FALSE)</f>
        <v>0</v>
      </c>
      <c r="Q83" s="16">
        <f>原始值!J83+VLOOKUP($H83,怪物强度修正!$A$2:$R$17,COLUMN(Q83)-9,FALSE)</f>
        <v>0</v>
      </c>
      <c r="R83" s="16">
        <f>原始值!K83+VLOOKUP($H83,怪物强度修正!$A$2:$R$17,COLUMN(R83)-9,FALSE)</f>
        <v>0</v>
      </c>
      <c r="S83" s="16">
        <f>原始值!L83+VLOOKUP($H83,怪物强度修正!$A$2:$R$17,COLUMN(S83)-9,FALSE)</f>
        <v>0</v>
      </c>
      <c r="T83" s="16">
        <f>原始值!M83+VLOOKUP($H83,怪物强度修正!$A$2:$R$17,COLUMN(T83)-9,FALSE)</f>
        <v>0</v>
      </c>
      <c r="U83" s="16">
        <f>原始值!N83+VLOOKUP($H83,怪物强度修正!$A$2:$R$17,COLUMN(U83)-9,FALSE)</f>
        <v>238</v>
      </c>
      <c r="V83" s="16">
        <v>1</v>
      </c>
      <c r="W83" s="16">
        <f>原始值!P83+VLOOKUP($H83,怪物强度修正!$A$2:$R$17,COLUMN(W83)-9,FALSE)</f>
        <v>20</v>
      </c>
      <c r="X83" s="16">
        <f>原始值!Q83+VLOOKUP($H83,怪物强度修正!$A$2:$R$17,COLUMN(X83)-9,FALSE)</f>
        <v>20</v>
      </c>
      <c r="Y83" s="16">
        <f>原始值!R83+VLOOKUP($H83,怪物强度修正!$A$2:$R$17,COLUMN(Y83)-9,FALSE)</f>
        <v>75</v>
      </c>
      <c r="Z83" s="16">
        <f>原始值!S83+VLOOKUP($H83,怪物强度修正!$A$2:$R$17,COLUMN(Z83)-9,FALSE)</f>
        <v>300</v>
      </c>
      <c r="AA83" s="16">
        <f>原始值!T83+VLOOKUP($H83,怪物强度修正!$A$2:$R$17,COLUMN(AA83)-9,FALSE)</f>
        <v>50</v>
      </c>
    </row>
    <row r="84" spans="1:27" s="16" customFormat="1">
      <c r="A84" s="16" t="str">
        <f t="shared" si="0"/>
        <v>PhyType.NewNpcType_217</v>
      </c>
      <c r="B84" s="16" t="s">
        <v>137</v>
      </c>
      <c r="C84" s="16">
        <v>217</v>
      </c>
      <c r="D84" s="16">
        <v>217</v>
      </c>
      <c r="G84" s="16" t="str">
        <f t="shared" si="14"/>
        <v>盔甲虫微型</v>
      </c>
      <c r="H84" s="16" t="str">
        <f t="shared" si="15"/>
        <v>盟重</v>
      </c>
      <c r="I84" s="16">
        <f t="shared" si="16"/>
        <v>21</v>
      </c>
      <c r="K84" s="16">
        <f>原始值!D84+VLOOKUP($H84,怪物强度修正!$A$2:$R$17,COLUMN(K84)-9,FALSE)</f>
        <v>3</v>
      </c>
      <c r="L84" s="16">
        <f>原始值!E84+VLOOKUP($H84,怪物强度修正!$A$2:$R$17,COLUMN(L84)-9,FALSE)</f>
        <v>8</v>
      </c>
      <c r="M84" s="16">
        <f t="shared" ref="M84:M158" si="17">K84</f>
        <v>3</v>
      </c>
      <c r="N84" s="16">
        <f t="shared" ref="N84:N158" si="18">L84</f>
        <v>8</v>
      </c>
      <c r="O84" s="16">
        <f>原始值!H84+VLOOKUP($H84,怪物强度修正!$A$2:$R$17,COLUMN(O84)-9,FALSE)</f>
        <v>0</v>
      </c>
      <c r="P84" s="16">
        <f>原始值!I84+VLOOKUP($H84,怪物强度修正!$A$2:$R$17,COLUMN(P84)-9,FALSE)</f>
        <v>0</v>
      </c>
      <c r="Q84" s="16">
        <f>原始值!J84+VLOOKUP($H84,怪物强度修正!$A$2:$R$17,COLUMN(Q84)-9,FALSE)</f>
        <v>0</v>
      </c>
      <c r="R84" s="16">
        <f>原始值!K84+VLOOKUP($H84,怪物强度修正!$A$2:$R$17,COLUMN(R84)-9,FALSE)</f>
        <v>0</v>
      </c>
      <c r="S84" s="16">
        <f>原始值!L84+VLOOKUP($H84,怪物强度修正!$A$2:$R$17,COLUMN(S84)-9,FALSE)</f>
        <v>0</v>
      </c>
      <c r="T84" s="16">
        <f>原始值!M84+VLOOKUP($H84,怪物强度修正!$A$2:$R$17,COLUMN(T84)-9,FALSE)</f>
        <v>0</v>
      </c>
      <c r="U84" s="16">
        <f>原始值!N84+VLOOKUP($H84,怪物强度修正!$A$2:$R$17,COLUMN(U84)-9,FALSE)</f>
        <v>35</v>
      </c>
      <c r="V84" s="16">
        <v>1</v>
      </c>
      <c r="W84" s="16">
        <f>原始值!P84+VLOOKUP($H84,怪物强度修正!$A$2:$R$17,COLUMN(W84)-9,FALSE)</f>
        <v>7</v>
      </c>
      <c r="X84" s="16">
        <f>原始值!Q84+VLOOKUP($H84,怪物强度修正!$A$2:$R$17,COLUMN(X84)-9,FALSE)</f>
        <v>12</v>
      </c>
      <c r="Y84" s="16">
        <f>原始值!R84+VLOOKUP($H84,怪物强度修正!$A$2:$R$17,COLUMN(Y84)-9,FALSE)</f>
        <v>75</v>
      </c>
      <c r="Z84" s="16">
        <f>原始值!S84+VLOOKUP($H84,怪物强度修正!$A$2:$R$17,COLUMN(Z84)-9,FALSE)</f>
        <v>300</v>
      </c>
      <c r="AA84" s="16">
        <f>原始值!T84+VLOOKUP($H84,怪物强度修正!$A$2:$R$17,COLUMN(AA84)-9,FALSE)</f>
        <v>50</v>
      </c>
    </row>
    <row r="85" spans="1:27" s="16" customFormat="1">
      <c r="A85" s="16" t="str">
        <f t="shared" ref="A85" si="19">"PhyType.NewNpcType_"&amp;D85</f>
        <v>PhyType.NewNpcType_238</v>
      </c>
      <c r="B85" s="16" t="s">
        <v>137</v>
      </c>
      <c r="C85" s="16">
        <v>238</v>
      </c>
      <c r="D85" s="16">
        <v>238</v>
      </c>
      <c r="G85" s="16" t="str">
        <f t="shared" si="14"/>
        <v>熊微型</v>
      </c>
      <c r="H85" s="16" t="str">
        <f t="shared" si="15"/>
        <v>盟重</v>
      </c>
      <c r="I85" s="16">
        <f t="shared" si="16"/>
        <v>20</v>
      </c>
      <c r="K85" s="16">
        <f>原始值!D85+VLOOKUP($H85,怪物强度修正!$A$2:$R$17,COLUMN(K85)-9,FALSE)</f>
        <v>4</v>
      </c>
      <c r="L85" s="16">
        <f>原始值!E85+VLOOKUP($H85,怪物强度修正!$A$2:$R$17,COLUMN(L85)-9,FALSE)</f>
        <v>6</v>
      </c>
      <c r="M85" s="16">
        <f t="shared" si="17"/>
        <v>4</v>
      </c>
      <c r="N85" s="16">
        <f t="shared" si="18"/>
        <v>6</v>
      </c>
      <c r="O85" s="16">
        <f>原始值!H85+VLOOKUP($H85,怪物强度修正!$A$2:$R$17,COLUMN(O85)-9,FALSE)</f>
        <v>0</v>
      </c>
      <c r="P85" s="16">
        <f>原始值!I85+VLOOKUP($H85,怪物强度修正!$A$2:$R$17,COLUMN(P85)-9,FALSE)</f>
        <v>0</v>
      </c>
      <c r="Q85" s="16">
        <f>原始值!J85+VLOOKUP($H85,怪物强度修正!$A$2:$R$17,COLUMN(Q85)-9,FALSE)</f>
        <v>0</v>
      </c>
      <c r="R85" s="16">
        <f>原始值!K85+VLOOKUP($H85,怪物强度修正!$A$2:$R$17,COLUMN(R85)-9,FALSE)</f>
        <v>0</v>
      </c>
      <c r="S85" s="16">
        <f>原始值!L85+VLOOKUP($H85,怪物强度修正!$A$2:$R$17,COLUMN(S85)-9,FALSE)</f>
        <v>0</v>
      </c>
      <c r="T85" s="16">
        <f>原始值!M85+VLOOKUP($H85,怪物强度修正!$A$2:$R$17,COLUMN(T85)-9,FALSE)</f>
        <v>0</v>
      </c>
      <c r="U85" s="16">
        <f>原始值!N85+VLOOKUP($H85,怪物强度修正!$A$2:$R$17,COLUMN(U85)-9,FALSE)</f>
        <v>32</v>
      </c>
      <c r="V85" s="16">
        <v>1</v>
      </c>
      <c r="W85" s="16">
        <f>原始值!P85+VLOOKUP($H85,怪物强度修正!$A$2:$R$17,COLUMN(W85)-9,FALSE)</f>
        <v>10</v>
      </c>
      <c r="X85" s="16">
        <f>原始值!Q85+VLOOKUP($H85,怪物强度修正!$A$2:$R$17,COLUMN(X85)-9,FALSE)</f>
        <v>12</v>
      </c>
      <c r="Y85" s="16">
        <f>原始值!R85+VLOOKUP($H85,怪物强度修正!$A$2:$R$17,COLUMN(Y85)-9,FALSE)</f>
        <v>75</v>
      </c>
      <c r="Z85" s="16">
        <f>原始值!S85+VLOOKUP($H85,怪物强度修正!$A$2:$R$17,COLUMN(Z85)-9,FALSE)</f>
        <v>300</v>
      </c>
      <c r="AA85" s="16">
        <f>原始值!T85+VLOOKUP($H85,怪物强度修正!$A$2:$R$17,COLUMN(AA85)-9,FALSE)</f>
        <v>50</v>
      </c>
    </row>
    <row r="86" spans="1:27" s="16" customFormat="1">
      <c r="A86" s="16" t="str">
        <f t="shared" si="0"/>
        <v>PhyType.NewNpcType_218</v>
      </c>
      <c r="B86" s="16" t="s">
        <v>137</v>
      </c>
      <c r="C86" s="16">
        <v>218</v>
      </c>
      <c r="D86" s="16">
        <v>218</v>
      </c>
      <c r="G86" s="16" t="str">
        <f t="shared" si="14"/>
        <v>狼微型</v>
      </c>
      <c r="H86" s="16" t="str">
        <f t="shared" si="15"/>
        <v>盟重</v>
      </c>
      <c r="I86" s="16">
        <f t="shared" si="16"/>
        <v>20</v>
      </c>
      <c r="K86" s="16">
        <f>原始值!D86+VLOOKUP($H86,怪物强度修正!$A$2:$R$17,COLUMN(K86)-9,FALSE)</f>
        <v>5</v>
      </c>
      <c r="L86" s="16">
        <f>原始值!E86+VLOOKUP($H86,怪物强度修正!$A$2:$R$17,COLUMN(L86)-9,FALSE)</f>
        <v>7</v>
      </c>
      <c r="M86" s="16">
        <f t="shared" si="17"/>
        <v>5</v>
      </c>
      <c r="N86" s="16">
        <f t="shared" si="18"/>
        <v>7</v>
      </c>
      <c r="O86" s="16">
        <f>原始值!H86+VLOOKUP($H86,怪物强度修正!$A$2:$R$17,COLUMN(O86)-9,FALSE)</f>
        <v>0</v>
      </c>
      <c r="P86" s="16">
        <f>原始值!I86+VLOOKUP($H86,怪物强度修正!$A$2:$R$17,COLUMN(P86)-9,FALSE)</f>
        <v>0</v>
      </c>
      <c r="Q86" s="16">
        <f>原始值!J86+VLOOKUP($H86,怪物强度修正!$A$2:$R$17,COLUMN(Q86)-9,FALSE)</f>
        <v>0</v>
      </c>
      <c r="R86" s="16">
        <f>原始值!K86+VLOOKUP($H86,怪物强度修正!$A$2:$R$17,COLUMN(R86)-9,FALSE)</f>
        <v>0</v>
      </c>
      <c r="S86" s="16">
        <f>原始值!L86+VLOOKUP($H86,怪物强度修正!$A$2:$R$17,COLUMN(S86)-9,FALSE)</f>
        <v>0</v>
      </c>
      <c r="T86" s="16">
        <f>原始值!M86+VLOOKUP($H86,怪物强度修正!$A$2:$R$17,COLUMN(T86)-9,FALSE)</f>
        <v>0</v>
      </c>
      <c r="U86" s="16">
        <f>原始值!N86+VLOOKUP($H86,怪物强度修正!$A$2:$R$17,COLUMN(U86)-9,FALSE)</f>
        <v>26</v>
      </c>
      <c r="V86" s="16">
        <v>1</v>
      </c>
      <c r="W86" s="16">
        <f>原始值!P86+VLOOKUP($H86,怪物强度修正!$A$2:$R$17,COLUMN(W86)-9,FALSE)</f>
        <v>10</v>
      </c>
      <c r="X86" s="16">
        <f>原始值!Q86+VLOOKUP($H86,怪物强度修正!$A$2:$R$17,COLUMN(X86)-9,FALSE)</f>
        <v>13</v>
      </c>
      <c r="Y86" s="16">
        <f>原始值!R86+VLOOKUP($H86,怪物强度修正!$A$2:$R$17,COLUMN(Y86)-9,FALSE)</f>
        <v>75</v>
      </c>
      <c r="Z86" s="16">
        <f>原始值!S86+VLOOKUP($H86,怪物强度修正!$A$2:$R$17,COLUMN(Z86)-9,FALSE)</f>
        <v>300</v>
      </c>
      <c r="AA86" s="16">
        <f>原始值!T86+VLOOKUP($H86,怪物强度修正!$A$2:$R$17,COLUMN(AA86)-9,FALSE)</f>
        <v>50</v>
      </c>
    </row>
    <row r="87" spans="1:27" s="16" customFormat="1">
      <c r="A87" s="16" t="str">
        <f t="shared" si="0"/>
        <v>PhyType.NewNpcType_219</v>
      </c>
      <c r="B87" s="16" t="s">
        <v>137</v>
      </c>
      <c r="C87" s="16">
        <v>219</v>
      </c>
      <c r="D87" s="16">
        <v>219</v>
      </c>
      <c r="G87" s="16" t="str">
        <f t="shared" si="14"/>
        <v>多角虫微型</v>
      </c>
      <c r="H87" s="16" t="str">
        <f t="shared" si="15"/>
        <v>盟重</v>
      </c>
      <c r="I87" s="16">
        <f t="shared" si="16"/>
        <v>18</v>
      </c>
      <c r="K87" s="16">
        <f>原始值!D87+VLOOKUP($H87,怪物强度修正!$A$2:$R$17,COLUMN(K87)-9,FALSE)</f>
        <v>6</v>
      </c>
      <c r="L87" s="16">
        <f>原始值!E87+VLOOKUP($H87,怪物强度修正!$A$2:$R$17,COLUMN(L87)-9,FALSE)</f>
        <v>6</v>
      </c>
      <c r="M87" s="16">
        <f t="shared" si="17"/>
        <v>6</v>
      </c>
      <c r="N87" s="16">
        <f t="shared" si="18"/>
        <v>6</v>
      </c>
      <c r="O87" s="16">
        <f>原始值!H87+VLOOKUP($H87,怪物强度修正!$A$2:$R$17,COLUMN(O87)-9,FALSE)</f>
        <v>0</v>
      </c>
      <c r="P87" s="16">
        <f>原始值!I87+VLOOKUP($H87,怪物强度修正!$A$2:$R$17,COLUMN(P87)-9,FALSE)</f>
        <v>0</v>
      </c>
      <c r="Q87" s="16">
        <f>原始值!J87+VLOOKUP($H87,怪物强度修正!$A$2:$R$17,COLUMN(Q87)-9,FALSE)</f>
        <v>0</v>
      </c>
      <c r="R87" s="16">
        <f>原始值!K87+VLOOKUP($H87,怪物强度修正!$A$2:$R$17,COLUMN(R87)-9,FALSE)</f>
        <v>0</v>
      </c>
      <c r="S87" s="16">
        <f>原始值!L87+VLOOKUP($H87,怪物强度修正!$A$2:$R$17,COLUMN(S87)-9,FALSE)</f>
        <v>0</v>
      </c>
      <c r="T87" s="16">
        <f>原始值!M87+VLOOKUP($H87,怪物强度修正!$A$2:$R$17,COLUMN(T87)-9,FALSE)</f>
        <v>0</v>
      </c>
      <c r="U87" s="16">
        <f>原始值!N87+VLOOKUP($H87,怪物强度修正!$A$2:$R$17,COLUMN(U87)-9,FALSE)</f>
        <v>36</v>
      </c>
      <c r="V87" s="16">
        <v>1</v>
      </c>
      <c r="W87" s="16">
        <f>原始值!P87+VLOOKUP($H87,怪物强度修正!$A$2:$R$17,COLUMN(W87)-9,FALSE)</f>
        <v>10</v>
      </c>
      <c r="X87" s="16">
        <f>原始值!Q87+VLOOKUP($H87,怪物强度修正!$A$2:$R$17,COLUMN(X87)-9,FALSE)</f>
        <v>13</v>
      </c>
      <c r="Y87" s="16">
        <f>原始值!R87+VLOOKUP($H87,怪物强度修正!$A$2:$R$17,COLUMN(Y87)-9,FALSE)</f>
        <v>75</v>
      </c>
      <c r="Z87" s="16">
        <f>原始值!S87+VLOOKUP($H87,怪物强度修正!$A$2:$R$17,COLUMN(Z87)-9,FALSE)</f>
        <v>300</v>
      </c>
      <c r="AA87" s="16">
        <f>原始值!T87+VLOOKUP($H87,怪物强度修正!$A$2:$R$17,COLUMN(AA87)-9,FALSE)</f>
        <v>50</v>
      </c>
    </row>
    <row r="88" spans="1:27" s="16" customFormat="1">
      <c r="A88" s="16" t="str">
        <f t="shared" si="0"/>
        <v>PhyType.NewNpcType_220</v>
      </c>
      <c r="B88" s="16" t="s">
        <v>137</v>
      </c>
      <c r="C88" s="16">
        <v>220</v>
      </c>
      <c r="D88" s="16">
        <v>220</v>
      </c>
      <c r="G88" s="16" t="str">
        <f t="shared" si="14"/>
        <v>蜈蚣微型</v>
      </c>
      <c r="H88" s="16" t="str">
        <f t="shared" si="15"/>
        <v>死亡峡谷</v>
      </c>
      <c r="I88" s="16">
        <f t="shared" si="16"/>
        <v>137</v>
      </c>
      <c r="K88" s="16">
        <f>原始值!D88+VLOOKUP($H88,怪物强度修正!$A$2:$R$17,COLUMN(K88)-9,FALSE)</f>
        <v>13</v>
      </c>
      <c r="L88" s="16">
        <f>原始值!E88+VLOOKUP($H88,怪物强度修正!$A$2:$R$17,COLUMN(L88)-9,FALSE)</f>
        <v>17</v>
      </c>
      <c r="M88" s="16">
        <f t="shared" si="17"/>
        <v>13</v>
      </c>
      <c r="N88" s="16">
        <f t="shared" si="18"/>
        <v>17</v>
      </c>
      <c r="O88" s="16">
        <f>原始值!H88+VLOOKUP($H88,怪物强度修正!$A$2:$R$17,COLUMN(O88)-9,FALSE)</f>
        <v>0</v>
      </c>
      <c r="P88" s="16">
        <f>原始值!I88+VLOOKUP($H88,怪物强度修正!$A$2:$R$17,COLUMN(P88)-9,FALSE)</f>
        <v>0</v>
      </c>
      <c r="Q88" s="16">
        <f>原始值!J88+VLOOKUP($H88,怪物强度修正!$A$2:$R$17,COLUMN(Q88)-9,FALSE)</f>
        <v>1</v>
      </c>
      <c r="R88" s="16">
        <f>原始值!K88+VLOOKUP($H88,怪物强度修正!$A$2:$R$17,COLUMN(R88)-9,FALSE)</f>
        <v>1</v>
      </c>
      <c r="S88" s="16">
        <f>原始值!L88+VLOOKUP($H88,怪物强度修正!$A$2:$R$17,COLUMN(S88)-9,FALSE)</f>
        <v>7</v>
      </c>
      <c r="T88" s="16">
        <f>原始值!M88+VLOOKUP($H88,怪物强度修正!$A$2:$R$17,COLUMN(T88)-9,FALSE)</f>
        <v>7</v>
      </c>
      <c r="U88" s="16">
        <f>原始值!N88+VLOOKUP($H88,怪物强度修正!$A$2:$R$17,COLUMN(U88)-9,FALSE)</f>
        <v>160</v>
      </c>
      <c r="V88" s="16">
        <v>1</v>
      </c>
      <c r="W88" s="16">
        <f>原始值!P88+VLOOKUP($H88,怪物强度修正!$A$2:$R$17,COLUMN(W88)-9,FALSE)</f>
        <v>13</v>
      </c>
      <c r="X88" s="16">
        <f>原始值!Q88+VLOOKUP($H88,怪物强度修正!$A$2:$R$17,COLUMN(X88)-9,FALSE)</f>
        <v>15</v>
      </c>
      <c r="Y88" s="16">
        <f>原始值!R88+VLOOKUP($H88,怪物强度修正!$A$2:$R$17,COLUMN(Y88)-9,FALSE)</f>
        <v>75</v>
      </c>
      <c r="Z88" s="16">
        <f>原始值!S88+VLOOKUP($H88,怪物强度修正!$A$2:$R$17,COLUMN(Z88)-9,FALSE)</f>
        <v>300</v>
      </c>
      <c r="AA88" s="16">
        <f>原始值!T88+VLOOKUP($H88,怪物强度修正!$A$2:$R$17,COLUMN(AA88)-9,FALSE)</f>
        <v>50</v>
      </c>
    </row>
    <row r="89" spans="1:27" s="16" customFormat="1">
      <c r="A89" s="16" t="str">
        <f t="shared" si="0"/>
        <v>PhyType.NewNpcType_221</v>
      </c>
      <c r="B89" s="16" t="s">
        <v>137</v>
      </c>
      <c r="C89" s="16">
        <v>221</v>
      </c>
      <c r="D89" s="16">
        <v>221</v>
      </c>
      <c r="G89" s="16" t="str">
        <f t="shared" si="14"/>
        <v>巨型蠕虫微型</v>
      </c>
      <c r="H89" s="16" t="str">
        <f t="shared" si="15"/>
        <v>死亡峡谷</v>
      </c>
      <c r="I89" s="16">
        <f t="shared" si="16"/>
        <v>137</v>
      </c>
      <c r="K89" s="16">
        <f>原始值!D89+VLOOKUP($H89,怪物强度修正!$A$2:$R$17,COLUMN(K89)-9,FALSE)</f>
        <v>15</v>
      </c>
      <c r="L89" s="16">
        <f>原始值!E89+VLOOKUP($H89,怪物强度修正!$A$2:$R$17,COLUMN(L89)-9,FALSE)</f>
        <v>17</v>
      </c>
      <c r="M89" s="16">
        <f t="shared" si="17"/>
        <v>15</v>
      </c>
      <c r="N89" s="16">
        <f t="shared" si="18"/>
        <v>17</v>
      </c>
      <c r="O89" s="16">
        <f>原始值!H89+VLOOKUP($H89,怪物强度修正!$A$2:$R$17,COLUMN(O89)-9,FALSE)</f>
        <v>0</v>
      </c>
      <c r="P89" s="16">
        <f>原始值!I89+VLOOKUP($H89,怪物强度修正!$A$2:$R$17,COLUMN(P89)-9,FALSE)</f>
        <v>0</v>
      </c>
      <c r="Q89" s="16">
        <f>原始值!J89+VLOOKUP($H89,怪物强度修正!$A$2:$R$17,COLUMN(Q89)-9,FALSE)</f>
        <v>4</v>
      </c>
      <c r="R89" s="16">
        <f>原始值!K89+VLOOKUP($H89,怪物强度修正!$A$2:$R$17,COLUMN(R89)-9,FALSE)</f>
        <v>4</v>
      </c>
      <c r="S89" s="16">
        <f>原始值!L89+VLOOKUP($H89,怪物强度修正!$A$2:$R$17,COLUMN(S89)-9,FALSE)</f>
        <v>5</v>
      </c>
      <c r="T89" s="16">
        <f>原始值!M89+VLOOKUP($H89,怪物强度修正!$A$2:$R$17,COLUMN(T89)-9,FALSE)</f>
        <v>5</v>
      </c>
      <c r="U89" s="16">
        <f>原始值!N89+VLOOKUP($H89,怪物强度修正!$A$2:$R$17,COLUMN(U89)-9,FALSE)</f>
        <v>140</v>
      </c>
      <c r="V89" s="16">
        <v>1</v>
      </c>
      <c r="W89" s="16">
        <f>原始值!P89+VLOOKUP($H89,怪物强度修正!$A$2:$R$17,COLUMN(W89)-9,FALSE)</f>
        <v>13</v>
      </c>
      <c r="X89" s="16">
        <f>原始值!Q89+VLOOKUP($H89,怪物强度修正!$A$2:$R$17,COLUMN(X89)-9,FALSE)</f>
        <v>15</v>
      </c>
      <c r="Y89" s="16">
        <f>原始值!R89+VLOOKUP($H89,怪物强度修正!$A$2:$R$17,COLUMN(Y89)-9,FALSE)</f>
        <v>75</v>
      </c>
      <c r="Z89" s="16">
        <f>原始值!S89+VLOOKUP($H89,怪物强度修正!$A$2:$R$17,COLUMN(Z89)-9,FALSE)</f>
        <v>300</v>
      </c>
      <c r="AA89" s="16">
        <f>原始值!T89+VLOOKUP($H89,怪物强度修正!$A$2:$R$17,COLUMN(AA89)-9,FALSE)</f>
        <v>50</v>
      </c>
    </row>
    <row r="90" spans="1:27" s="16" customFormat="1">
      <c r="A90" s="16" t="str">
        <f t="shared" si="0"/>
        <v>PhyType.NewNpcType_222</v>
      </c>
      <c r="B90" s="16" t="s">
        <v>137</v>
      </c>
      <c r="C90" s="16">
        <v>222</v>
      </c>
      <c r="D90" s="16">
        <v>222</v>
      </c>
      <c r="G90" s="16" t="str">
        <f t="shared" si="14"/>
        <v>钳虫微型</v>
      </c>
      <c r="H90" s="16" t="str">
        <f t="shared" si="15"/>
        <v>死亡峡谷</v>
      </c>
      <c r="I90" s="16">
        <f t="shared" si="16"/>
        <v>149</v>
      </c>
      <c r="K90" s="16">
        <f>原始值!D90+VLOOKUP($H90,怪物强度修正!$A$2:$R$17,COLUMN(K90)-9,FALSE)</f>
        <v>15</v>
      </c>
      <c r="L90" s="16">
        <f>原始值!E90+VLOOKUP($H90,怪物强度修正!$A$2:$R$17,COLUMN(L90)-9,FALSE)</f>
        <v>23</v>
      </c>
      <c r="M90" s="16">
        <f t="shared" si="17"/>
        <v>15</v>
      </c>
      <c r="N90" s="16">
        <f t="shared" si="18"/>
        <v>23</v>
      </c>
      <c r="O90" s="16">
        <f>原始值!H90+VLOOKUP($H90,怪物强度修正!$A$2:$R$17,COLUMN(O90)-9,FALSE)</f>
        <v>0</v>
      </c>
      <c r="P90" s="16">
        <f>原始值!I90+VLOOKUP($H90,怪物强度修正!$A$2:$R$17,COLUMN(P90)-9,FALSE)</f>
        <v>0</v>
      </c>
      <c r="Q90" s="16">
        <f>原始值!J90+VLOOKUP($H90,怪物强度修正!$A$2:$R$17,COLUMN(Q90)-9,FALSE)</f>
        <v>6</v>
      </c>
      <c r="R90" s="16">
        <f>原始值!K90+VLOOKUP($H90,怪物强度修正!$A$2:$R$17,COLUMN(R90)-9,FALSE)</f>
        <v>6</v>
      </c>
      <c r="S90" s="16">
        <f>原始值!L90+VLOOKUP($H90,怪物强度修正!$A$2:$R$17,COLUMN(S90)-9,FALSE)</f>
        <v>9</v>
      </c>
      <c r="T90" s="16">
        <f>原始值!M90+VLOOKUP($H90,怪物强度修正!$A$2:$R$17,COLUMN(T90)-9,FALSE)</f>
        <v>9</v>
      </c>
      <c r="U90" s="16">
        <f>原始值!N90+VLOOKUP($H90,怪物强度修正!$A$2:$R$17,COLUMN(U90)-9,FALSE)</f>
        <v>190</v>
      </c>
      <c r="V90" s="16">
        <v>1</v>
      </c>
      <c r="W90" s="16">
        <f>原始值!P90+VLOOKUP($H90,怪物强度修正!$A$2:$R$17,COLUMN(W90)-9,FALSE)</f>
        <v>13</v>
      </c>
      <c r="X90" s="16">
        <f>原始值!Q90+VLOOKUP($H90,怪物强度修正!$A$2:$R$17,COLUMN(X90)-9,FALSE)</f>
        <v>15</v>
      </c>
      <c r="Y90" s="16">
        <f>原始值!R90+VLOOKUP($H90,怪物强度修正!$A$2:$R$17,COLUMN(Y90)-9,FALSE)</f>
        <v>75</v>
      </c>
      <c r="Z90" s="16">
        <f>原始值!S90+VLOOKUP($H90,怪物强度修正!$A$2:$R$17,COLUMN(Z90)-9,FALSE)</f>
        <v>300</v>
      </c>
      <c r="AA90" s="16">
        <f>原始值!T90+VLOOKUP($H90,怪物强度修正!$A$2:$R$17,COLUMN(AA90)-9,FALSE)</f>
        <v>50</v>
      </c>
    </row>
    <row r="91" spans="1:27" s="16" customFormat="1">
      <c r="A91" s="16" t="str">
        <f t="shared" si="0"/>
        <v>PhyType.NewNpcType_223</v>
      </c>
      <c r="B91" s="16" t="s">
        <v>137</v>
      </c>
      <c r="C91" s="16">
        <v>223</v>
      </c>
      <c r="D91" s="16">
        <v>223</v>
      </c>
      <c r="G91" s="16" t="str">
        <f t="shared" si="14"/>
        <v>跳跳蜂微型</v>
      </c>
      <c r="H91" s="16" t="str">
        <f t="shared" si="15"/>
        <v>死亡峡谷</v>
      </c>
      <c r="I91" s="16">
        <f t="shared" si="16"/>
        <v>125</v>
      </c>
      <c r="K91" s="16">
        <f>原始值!D91+VLOOKUP($H91,怪物强度修正!$A$2:$R$17,COLUMN(K91)-9,FALSE)</f>
        <v>13</v>
      </c>
      <c r="L91" s="16">
        <f>原始值!E91+VLOOKUP($H91,怪物强度修正!$A$2:$R$17,COLUMN(L91)-9,FALSE)</f>
        <v>17</v>
      </c>
      <c r="M91" s="16">
        <f t="shared" si="17"/>
        <v>13</v>
      </c>
      <c r="N91" s="16">
        <f t="shared" si="18"/>
        <v>17</v>
      </c>
      <c r="O91" s="16">
        <f>原始值!H91+VLOOKUP($H91,怪物强度修正!$A$2:$R$17,COLUMN(O91)-9,FALSE)</f>
        <v>0</v>
      </c>
      <c r="P91" s="16">
        <f>原始值!I91+VLOOKUP($H91,怪物强度修正!$A$2:$R$17,COLUMN(P91)-9,FALSE)</f>
        <v>0</v>
      </c>
      <c r="Q91" s="16">
        <f>原始值!J91+VLOOKUP($H91,怪物强度修正!$A$2:$R$17,COLUMN(Q91)-9,FALSE)</f>
        <v>4</v>
      </c>
      <c r="R91" s="16">
        <f>原始值!K91+VLOOKUP($H91,怪物强度修正!$A$2:$R$17,COLUMN(R91)-9,FALSE)</f>
        <v>4</v>
      </c>
      <c r="S91" s="16">
        <f>原始值!L91+VLOOKUP($H91,怪物强度修正!$A$2:$R$17,COLUMN(S91)-9,FALSE)</f>
        <v>5</v>
      </c>
      <c r="T91" s="16">
        <f>原始值!M91+VLOOKUP($H91,怪物强度修正!$A$2:$R$17,COLUMN(T91)-9,FALSE)</f>
        <v>5</v>
      </c>
      <c r="U91" s="16">
        <f>原始值!N91+VLOOKUP($H91,怪物强度修正!$A$2:$R$17,COLUMN(U91)-9,FALSE)</f>
        <v>140</v>
      </c>
      <c r="V91" s="16">
        <v>1</v>
      </c>
      <c r="W91" s="16">
        <f>原始值!P91+VLOOKUP($H91,怪物强度修正!$A$2:$R$17,COLUMN(W91)-9,FALSE)</f>
        <v>13</v>
      </c>
      <c r="X91" s="16">
        <f>原始值!Q91+VLOOKUP($H91,怪物强度修正!$A$2:$R$17,COLUMN(X91)-9,FALSE)</f>
        <v>15</v>
      </c>
      <c r="Y91" s="16">
        <f>原始值!R91+VLOOKUP($H91,怪物强度修正!$A$2:$R$17,COLUMN(Y91)-9,FALSE)</f>
        <v>75</v>
      </c>
      <c r="Z91" s="16">
        <f>原始值!S91+VLOOKUP($H91,怪物强度修正!$A$2:$R$17,COLUMN(Z91)-9,FALSE)</f>
        <v>300</v>
      </c>
      <c r="AA91" s="16">
        <f>原始值!T91+VLOOKUP($H91,怪物强度修正!$A$2:$R$17,COLUMN(AA91)-9,FALSE)</f>
        <v>50</v>
      </c>
    </row>
    <row r="92" spans="1:27" s="16" customFormat="1">
      <c r="A92" s="16" t="str">
        <f t="shared" si="0"/>
        <v>PhyType.NewNpcType_224</v>
      </c>
      <c r="B92" s="16" t="s">
        <v>137</v>
      </c>
      <c r="C92" s="16">
        <v>224</v>
      </c>
      <c r="D92" s="16">
        <v>224</v>
      </c>
      <c r="G92" s="16" t="str">
        <f t="shared" si="14"/>
        <v>恶蛆微型</v>
      </c>
      <c r="H92" s="16" t="str">
        <f t="shared" si="15"/>
        <v>石墓</v>
      </c>
      <c r="I92" s="16">
        <f t="shared" si="16"/>
        <v>107</v>
      </c>
      <c r="K92" s="16">
        <f>原始值!D92+VLOOKUP($H92,怪物强度修正!$A$2:$R$17,COLUMN(K92)-9,FALSE)</f>
        <v>11</v>
      </c>
      <c r="L92" s="16">
        <f>原始值!E92+VLOOKUP($H92,怪物强度修正!$A$2:$R$17,COLUMN(L92)-9,FALSE)</f>
        <v>15</v>
      </c>
      <c r="M92" s="16">
        <f t="shared" si="17"/>
        <v>11</v>
      </c>
      <c r="N92" s="16">
        <f t="shared" si="18"/>
        <v>15</v>
      </c>
      <c r="O92" s="16">
        <f>原始值!H92+VLOOKUP($H92,怪物强度修正!$A$2:$R$17,COLUMN(O92)-9,FALSE)</f>
        <v>0</v>
      </c>
      <c r="P92" s="16">
        <f>原始值!I92+VLOOKUP($H92,怪物强度修正!$A$2:$R$17,COLUMN(P92)-9,FALSE)</f>
        <v>0</v>
      </c>
      <c r="Q92" s="16">
        <f>原始值!J92+VLOOKUP($H92,怪物强度修正!$A$2:$R$17,COLUMN(Q92)-9,FALSE)</f>
        <v>6</v>
      </c>
      <c r="R92" s="16">
        <f>原始值!K92+VLOOKUP($H92,怪物强度修正!$A$2:$R$17,COLUMN(R92)-9,FALSE)</f>
        <v>6</v>
      </c>
      <c r="S92" s="16">
        <f>原始值!L92+VLOOKUP($H92,怪物强度修正!$A$2:$R$17,COLUMN(S92)-9,FALSE)</f>
        <v>2</v>
      </c>
      <c r="T92" s="16">
        <f>原始值!M92+VLOOKUP($H92,怪物强度修正!$A$2:$R$17,COLUMN(T92)-9,FALSE)</f>
        <v>2</v>
      </c>
      <c r="U92" s="16">
        <f>原始值!N92+VLOOKUP($H92,怪物强度修正!$A$2:$R$17,COLUMN(U92)-9,FALSE)</f>
        <v>160</v>
      </c>
      <c r="V92" s="16">
        <v>1</v>
      </c>
      <c r="W92" s="16">
        <f>原始值!P92+VLOOKUP($H92,怪物强度修正!$A$2:$R$17,COLUMN(W92)-9,FALSE)</f>
        <v>13</v>
      </c>
      <c r="X92" s="16">
        <f>原始值!Q92+VLOOKUP($H92,怪物强度修正!$A$2:$R$17,COLUMN(X92)-9,FALSE)</f>
        <v>15</v>
      </c>
      <c r="Y92" s="16">
        <f>原始值!R92+VLOOKUP($H92,怪物强度修正!$A$2:$R$17,COLUMN(Y92)-9,FALSE)</f>
        <v>75</v>
      </c>
      <c r="Z92" s="16">
        <f>原始值!S92+VLOOKUP($H92,怪物强度修正!$A$2:$R$17,COLUMN(Z92)-9,FALSE)</f>
        <v>300</v>
      </c>
      <c r="AA92" s="16">
        <f>原始值!T92+VLOOKUP($H92,怪物强度修正!$A$2:$R$17,COLUMN(AA92)-9,FALSE)</f>
        <v>50</v>
      </c>
    </row>
    <row r="93" spans="1:27" s="16" customFormat="1">
      <c r="A93" s="16" t="str">
        <f t="shared" si="0"/>
        <v>PhyType.NewNpcType_225</v>
      </c>
      <c r="B93" s="16" t="s">
        <v>137</v>
      </c>
      <c r="C93" s="16">
        <v>225</v>
      </c>
      <c r="D93" s="16">
        <v>225</v>
      </c>
      <c r="G93" s="16" t="str">
        <f t="shared" si="14"/>
        <v>红野猪微型</v>
      </c>
      <c r="H93" s="16" t="str">
        <f t="shared" si="15"/>
        <v>石墓</v>
      </c>
      <c r="I93" s="16">
        <f t="shared" si="16"/>
        <v>191</v>
      </c>
      <c r="K93" s="16">
        <f>原始值!D93+VLOOKUP($H93,怪物强度修正!$A$2:$R$17,COLUMN(K93)-9,FALSE)</f>
        <v>17</v>
      </c>
      <c r="L93" s="16">
        <f>原始值!E93+VLOOKUP($H93,怪物强度修正!$A$2:$R$17,COLUMN(L93)-9,FALSE)</f>
        <v>23</v>
      </c>
      <c r="M93" s="16">
        <f t="shared" si="17"/>
        <v>17</v>
      </c>
      <c r="N93" s="16">
        <f t="shared" si="18"/>
        <v>23</v>
      </c>
      <c r="O93" s="16">
        <f>原始值!H93+VLOOKUP($H93,怪物强度修正!$A$2:$R$17,COLUMN(O93)-9,FALSE)</f>
        <v>0</v>
      </c>
      <c r="P93" s="16">
        <f>原始值!I93+VLOOKUP($H93,怪物强度修正!$A$2:$R$17,COLUMN(P93)-9,FALSE)</f>
        <v>0</v>
      </c>
      <c r="Q93" s="16">
        <f>原始值!J93+VLOOKUP($H93,怪物强度修正!$A$2:$R$17,COLUMN(Q93)-9,FALSE)</f>
        <v>1</v>
      </c>
      <c r="R93" s="16">
        <f>原始值!K93+VLOOKUP($H93,怪物强度修正!$A$2:$R$17,COLUMN(R93)-9,FALSE)</f>
        <v>1</v>
      </c>
      <c r="S93" s="16">
        <f>原始值!L93+VLOOKUP($H93,怪物强度修正!$A$2:$R$17,COLUMN(S93)-9,FALSE)</f>
        <v>10</v>
      </c>
      <c r="T93" s="16">
        <f>原始值!M93+VLOOKUP($H93,怪物强度修正!$A$2:$R$17,COLUMN(T93)-9,FALSE)</f>
        <v>10</v>
      </c>
      <c r="U93" s="16">
        <f>原始值!N93+VLOOKUP($H93,怪物强度修正!$A$2:$R$17,COLUMN(U93)-9,FALSE)</f>
        <v>230</v>
      </c>
      <c r="V93" s="16">
        <v>1</v>
      </c>
      <c r="W93" s="16">
        <f>原始值!P93+VLOOKUP($H93,怪物强度修正!$A$2:$R$17,COLUMN(W93)-9,FALSE)</f>
        <v>13</v>
      </c>
      <c r="X93" s="16">
        <f>原始值!Q93+VLOOKUP($H93,怪物强度修正!$A$2:$R$17,COLUMN(X93)-9,FALSE)</f>
        <v>15</v>
      </c>
      <c r="Y93" s="16">
        <f>原始值!R93+VLOOKUP($H93,怪物强度修正!$A$2:$R$17,COLUMN(Y93)-9,FALSE)</f>
        <v>75</v>
      </c>
      <c r="Z93" s="16">
        <f>原始值!S93+VLOOKUP($H93,怪物强度修正!$A$2:$R$17,COLUMN(Z93)-9,FALSE)</f>
        <v>300</v>
      </c>
      <c r="AA93" s="16">
        <f>原始值!T93+VLOOKUP($H93,怪物强度修正!$A$2:$R$17,COLUMN(AA93)-9,FALSE)</f>
        <v>50</v>
      </c>
    </row>
    <row r="94" spans="1:27" s="16" customFormat="1">
      <c r="A94" s="16" t="str">
        <f t="shared" si="0"/>
        <v>PhyType.NewNpcType_226</v>
      </c>
      <c r="B94" s="16" t="s">
        <v>137</v>
      </c>
      <c r="C94" s="16">
        <v>226</v>
      </c>
      <c r="D94" s="16">
        <v>226</v>
      </c>
      <c r="G94" s="16" t="str">
        <f t="shared" si="14"/>
        <v>黑野猪微型</v>
      </c>
      <c r="H94" s="16" t="str">
        <f t="shared" si="15"/>
        <v>石墓</v>
      </c>
      <c r="I94" s="16">
        <f t="shared" si="16"/>
        <v>227</v>
      </c>
      <c r="K94" s="16">
        <f>原始值!D94+VLOOKUP($H94,怪物强度修正!$A$2:$R$17,COLUMN(K94)-9,FALSE)</f>
        <v>19</v>
      </c>
      <c r="L94" s="16">
        <f>原始值!E94+VLOOKUP($H94,怪物强度修正!$A$2:$R$17,COLUMN(L94)-9,FALSE)</f>
        <v>24</v>
      </c>
      <c r="M94" s="16">
        <f t="shared" si="17"/>
        <v>19</v>
      </c>
      <c r="N94" s="16">
        <f t="shared" si="18"/>
        <v>24</v>
      </c>
      <c r="O94" s="16">
        <f>原始值!H94+VLOOKUP($H94,怪物强度修正!$A$2:$R$17,COLUMN(O94)-9,FALSE)</f>
        <v>0</v>
      </c>
      <c r="P94" s="16">
        <f>原始值!I94+VLOOKUP($H94,怪物强度修正!$A$2:$R$17,COLUMN(P94)-9,FALSE)</f>
        <v>0</v>
      </c>
      <c r="Q94" s="16">
        <f>原始值!J94+VLOOKUP($H94,怪物强度修正!$A$2:$R$17,COLUMN(Q94)-9,FALSE)</f>
        <v>11</v>
      </c>
      <c r="R94" s="16">
        <f>原始值!K94+VLOOKUP($H94,怪物强度修正!$A$2:$R$17,COLUMN(R94)-9,FALSE)</f>
        <v>11</v>
      </c>
      <c r="S94" s="16">
        <f>原始值!L94+VLOOKUP($H94,怪物强度修正!$A$2:$R$17,COLUMN(S94)-9,FALSE)</f>
        <v>2</v>
      </c>
      <c r="T94" s="16">
        <f>原始值!M94+VLOOKUP($H94,怪物强度修正!$A$2:$R$17,COLUMN(T94)-9,FALSE)</f>
        <v>2</v>
      </c>
      <c r="U94" s="16">
        <f>原始值!N94+VLOOKUP($H94,怪物强度修正!$A$2:$R$17,COLUMN(U94)-9,FALSE)</f>
        <v>220</v>
      </c>
      <c r="V94" s="16">
        <v>1</v>
      </c>
      <c r="W94" s="16">
        <f>原始值!P94+VLOOKUP($H94,怪物强度修正!$A$2:$R$17,COLUMN(W94)-9,FALSE)</f>
        <v>13</v>
      </c>
      <c r="X94" s="16">
        <f>原始值!Q94+VLOOKUP($H94,怪物强度修正!$A$2:$R$17,COLUMN(X94)-9,FALSE)</f>
        <v>15</v>
      </c>
      <c r="Y94" s="16">
        <f>原始值!R94+VLOOKUP($H94,怪物强度修正!$A$2:$R$17,COLUMN(Y94)-9,FALSE)</f>
        <v>75</v>
      </c>
      <c r="Z94" s="16">
        <f>原始值!S94+VLOOKUP($H94,怪物强度修正!$A$2:$R$17,COLUMN(Z94)-9,FALSE)</f>
        <v>300</v>
      </c>
      <c r="AA94" s="16">
        <f>原始值!T94+VLOOKUP($H94,怪物强度修正!$A$2:$R$17,COLUMN(AA94)-9,FALSE)</f>
        <v>50</v>
      </c>
    </row>
    <row r="95" spans="1:27" s="16" customFormat="1">
      <c r="A95" s="16" t="str">
        <f t="shared" si="0"/>
        <v>PhyType.NewNpcType_227</v>
      </c>
      <c r="B95" s="16" t="s">
        <v>137</v>
      </c>
      <c r="C95" s="16">
        <v>227</v>
      </c>
      <c r="D95" s="16">
        <v>227</v>
      </c>
      <c r="G95" s="16" t="str">
        <f t="shared" si="14"/>
        <v>白野猪微型</v>
      </c>
      <c r="H95" s="16" t="str">
        <f t="shared" si="15"/>
        <v>石墓</v>
      </c>
      <c r="I95" s="16">
        <f t="shared" si="16"/>
        <v>959</v>
      </c>
      <c r="K95" s="16">
        <f>原始值!D95+VLOOKUP($H95,怪物强度修正!$A$2:$R$17,COLUMN(K95)-9,FALSE)</f>
        <v>27</v>
      </c>
      <c r="L95" s="16">
        <f>原始值!E95+VLOOKUP($H95,怪物强度修正!$A$2:$R$17,COLUMN(L95)-9,FALSE)</f>
        <v>47</v>
      </c>
      <c r="M95" s="16">
        <f t="shared" si="17"/>
        <v>27</v>
      </c>
      <c r="N95" s="16">
        <f t="shared" si="18"/>
        <v>47</v>
      </c>
      <c r="O95" s="16">
        <f>原始值!H95+VLOOKUP($H95,怪物强度修正!$A$2:$R$17,COLUMN(O95)-9,FALSE)</f>
        <v>0</v>
      </c>
      <c r="P95" s="16">
        <f>原始值!I95+VLOOKUP($H95,怪物强度修正!$A$2:$R$17,COLUMN(P95)-9,FALSE)</f>
        <v>0</v>
      </c>
      <c r="Q95" s="16">
        <f>原始值!J95+VLOOKUP($H95,怪物强度修正!$A$2:$R$17,COLUMN(Q95)-9,FALSE)</f>
        <v>16</v>
      </c>
      <c r="R95" s="16">
        <f>原始值!K95+VLOOKUP($H95,怪物强度修正!$A$2:$R$17,COLUMN(R95)-9,FALSE)</f>
        <v>16</v>
      </c>
      <c r="S95" s="16">
        <f>原始值!L95+VLOOKUP($H95,怪物强度修正!$A$2:$R$17,COLUMN(S95)-9,FALSE)</f>
        <v>17</v>
      </c>
      <c r="T95" s="16">
        <f>原始值!M95+VLOOKUP($H95,怪物强度修正!$A$2:$R$17,COLUMN(T95)-9,FALSE)</f>
        <v>17</v>
      </c>
      <c r="U95" s="16">
        <f>原始值!N95+VLOOKUP($H95,怪物强度修正!$A$2:$R$17,COLUMN(U95)-9,FALSE)</f>
        <v>700</v>
      </c>
      <c r="V95" s="16">
        <v>1</v>
      </c>
      <c r="W95" s="16">
        <f>原始值!P95+VLOOKUP($H95,怪物强度修正!$A$2:$R$17,COLUMN(W95)-9,FALSE)</f>
        <v>17</v>
      </c>
      <c r="X95" s="16">
        <f>原始值!Q95+VLOOKUP($H95,怪物强度修正!$A$2:$R$17,COLUMN(X95)-9,FALSE)</f>
        <v>25</v>
      </c>
      <c r="Y95" s="16">
        <f>原始值!R95+VLOOKUP($H95,怪物强度修正!$A$2:$R$17,COLUMN(Y95)-9,FALSE)</f>
        <v>75</v>
      </c>
      <c r="Z95" s="16">
        <f>原始值!S95+VLOOKUP($H95,怪物强度修正!$A$2:$R$17,COLUMN(Z95)-9,FALSE)</f>
        <v>300</v>
      </c>
      <c r="AA95" s="16">
        <f>原始值!T95+VLOOKUP($H95,怪物强度修正!$A$2:$R$17,COLUMN(AA95)-9,FALSE)</f>
        <v>50</v>
      </c>
    </row>
    <row r="96" spans="1:27" s="16" customFormat="1">
      <c r="A96" s="16" t="str">
        <f t="shared" si="0"/>
        <v>PhyType.NewNpcType_228</v>
      </c>
      <c r="B96" s="16" t="s">
        <v>137</v>
      </c>
      <c r="C96" s="16">
        <v>228</v>
      </c>
      <c r="D96" s="16">
        <v>228</v>
      </c>
      <c r="G96" s="16" t="str">
        <f t="shared" ref="G96:G119" si="20">G40&amp;"微型"</f>
        <v>虹魔猪卫微型</v>
      </c>
      <c r="H96" s="16" t="str">
        <f t="shared" ref="H96:H119" si="21">H40</f>
        <v>虹魔教坛</v>
      </c>
      <c r="I96" s="16">
        <f t="shared" ref="I96:I119" si="22">INT((I40+1)*0.6-1)</f>
        <v>1199</v>
      </c>
      <c r="K96" s="16">
        <f>原始值!D96+VLOOKUP($H96,怪物强度修正!$A$2:$R$17,COLUMN(K96)-9,FALSE)</f>
        <v>32</v>
      </c>
      <c r="L96" s="16">
        <f>原始值!E96+VLOOKUP($H96,怪物强度修正!$A$2:$R$17,COLUMN(L96)-9,FALSE)</f>
        <v>48</v>
      </c>
      <c r="M96" s="16">
        <f t="shared" si="17"/>
        <v>32</v>
      </c>
      <c r="N96" s="16">
        <f t="shared" si="18"/>
        <v>48</v>
      </c>
      <c r="O96" s="16">
        <f>原始值!H96+VLOOKUP($H96,怪物强度修正!$A$2:$R$17,COLUMN(O96)-9,FALSE)</f>
        <v>0</v>
      </c>
      <c r="P96" s="16">
        <f>原始值!I96+VLOOKUP($H96,怪物强度修正!$A$2:$R$17,COLUMN(P96)-9,FALSE)</f>
        <v>0</v>
      </c>
      <c r="Q96" s="16">
        <f>原始值!J96+VLOOKUP($H96,怪物强度修正!$A$2:$R$17,COLUMN(Q96)-9,FALSE)</f>
        <v>20</v>
      </c>
      <c r="R96" s="16">
        <f>原始值!K96+VLOOKUP($H96,怪物强度修正!$A$2:$R$17,COLUMN(R96)-9,FALSE)</f>
        <v>20</v>
      </c>
      <c r="S96" s="16">
        <f>原始值!L96+VLOOKUP($H96,怪物强度修正!$A$2:$R$17,COLUMN(S96)-9,FALSE)</f>
        <v>20</v>
      </c>
      <c r="T96" s="16">
        <f>原始值!M96+VLOOKUP($H96,怪物强度修正!$A$2:$R$17,COLUMN(T96)-9,FALSE)</f>
        <v>20</v>
      </c>
      <c r="U96" s="16">
        <f>原始值!N96+VLOOKUP($H96,怪物强度修正!$A$2:$R$17,COLUMN(U96)-9,FALSE)</f>
        <v>1050</v>
      </c>
      <c r="V96" s="16">
        <v>1</v>
      </c>
      <c r="W96" s="16">
        <f>原始值!P96+VLOOKUP($H96,怪物强度修正!$A$2:$R$17,COLUMN(W96)-9,FALSE)</f>
        <v>17</v>
      </c>
      <c r="X96" s="16">
        <f>原始值!Q96+VLOOKUP($H96,怪物强度修正!$A$2:$R$17,COLUMN(X96)-9,FALSE)</f>
        <v>25</v>
      </c>
      <c r="Y96" s="16">
        <f>原始值!R96+VLOOKUP($H96,怪物强度修正!$A$2:$R$17,COLUMN(Y96)-9,FALSE)</f>
        <v>75</v>
      </c>
      <c r="Z96" s="16">
        <f>原始值!S96+VLOOKUP($H96,怪物强度修正!$A$2:$R$17,COLUMN(Z96)-9,FALSE)</f>
        <v>300</v>
      </c>
      <c r="AA96" s="16">
        <f>原始值!T96+VLOOKUP($H96,怪物强度修正!$A$2:$R$17,COLUMN(AA96)-9,FALSE)</f>
        <v>50</v>
      </c>
    </row>
    <row r="97" spans="1:27" s="16" customFormat="1">
      <c r="A97" s="16" t="str">
        <f t="shared" si="0"/>
        <v>PhyType.NewNpcType_229</v>
      </c>
      <c r="B97" s="16" t="s">
        <v>137</v>
      </c>
      <c r="C97" s="16">
        <v>229</v>
      </c>
      <c r="D97" s="16">
        <v>229</v>
      </c>
      <c r="G97" s="16" t="str">
        <f t="shared" si="20"/>
        <v>虹魔蝎卫微型</v>
      </c>
      <c r="H97" s="16" t="str">
        <f t="shared" si="21"/>
        <v>虹魔教坛</v>
      </c>
      <c r="I97" s="16">
        <f t="shared" si="22"/>
        <v>1499</v>
      </c>
      <c r="K97" s="16">
        <f>原始值!D97+VLOOKUP($H97,怪物强度修正!$A$2:$R$17,COLUMN(K97)-9,FALSE)</f>
        <v>36</v>
      </c>
      <c r="L97" s="16">
        <f>原始值!E97+VLOOKUP($H97,怪物强度修正!$A$2:$R$17,COLUMN(L97)-9,FALSE)</f>
        <v>52</v>
      </c>
      <c r="M97" s="16">
        <f t="shared" si="17"/>
        <v>36</v>
      </c>
      <c r="N97" s="16">
        <f t="shared" si="18"/>
        <v>52</v>
      </c>
      <c r="O97" s="16">
        <f>原始值!H97+VLOOKUP($H97,怪物强度修正!$A$2:$R$17,COLUMN(O97)-9,FALSE)</f>
        <v>0</v>
      </c>
      <c r="P97" s="16">
        <f>原始值!I97+VLOOKUP($H97,怪物强度修正!$A$2:$R$17,COLUMN(P97)-9,FALSE)</f>
        <v>0</v>
      </c>
      <c r="Q97" s="16">
        <f>原始值!J97+VLOOKUP($H97,怪物强度修正!$A$2:$R$17,COLUMN(Q97)-9,FALSE)</f>
        <v>25</v>
      </c>
      <c r="R97" s="16">
        <f>原始值!K97+VLOOKUP($H97,怪物强度修正!$A$2:$R$17,COLUMN(R97)-9,FALSE)</f>
        <v>25</v>
      </c>
      <c r="S97" s="16">
        <f>原始值!L97+VLOOKUP($H97,怪物强度修正!$A$2:$R$17,COLUMN(S97)-9,FALSE)</f>
        <v>25</v>
      </c>
      <c r="T97" s="16">
        <f>原始值!M97+VLOOKUP($H97,怪物强度修正!$A$2:$R$17,COLUMN(T97)-9,FALSE)</f>
        <v>25</v>
      </c>
      <c r="U97" s="16">
        <f>原始值!N97+VLOOKUP($H97,怪物强度修正!$A$2:$R$17,COLUMN(U97)-9,FALSE)</f>
        <v>1400</v>
      </c>
      <c r="V97" s="16">
        <v>1</v>
      </c>
      <c r="W97" s="16">
        <f>原始值!P97+VLOOKUP($H97,怪物强度修正!$A$2:$R$17,COLUMN(W97)-9,FALSE)</f>
        <v>17</v>
      </c>
      <c r="X97" s="16">
        <f>原始值!Q97+VLOOKUP($H97,怪物强度修正!$A$2:$R$17,COLUMN(X97)-9,FALSE)</f>
        <v>25</v>
      </c>
      <c r="Y97" s="16">
        <f>原始值!R97+VLOOKUP($H97,怪物强度修正!$A$2:$R$17,COLUMN(Y97)-9,FALSE)</f>
        <v>75</v>
      </c>
      <c r="Z97" s="16">
        <f>原始值!S97+VLOOKUP($H97,怪物强度修正!$A$2:$R$17,COLUMN(Z97)-9,FALSE)</f>
        <v>300</v>
      </c>
      <c r="AA97" s="16">
        <f>原始值!T97+VLOOKUP($H97,怪物强度修正!$A$2:$R$17,COLUMN(AA97)-9,FALSE)</f>
        <v>50</v>
      </c>
    </row>
    <row r="98" spans="1:27" s="16" customFormat="1">
      <c r="A98" s="16" t="str">
        <f t="shared" si="0"/>
        <v>PhyType.NewNpcType_230</v>
      </c>
      <c r="B98" s="16" t="s">
        <v>137</v>
      </c>
      <c r="C98" s="16">
        <v>230</v>
      </c>
      <c r="D98" s="16">
        <v>230</v>
      </c>
      <c r="G98" s="16" t="str">
        <f t="shared" si="20"/>
        <v>残肢僵尸1微型</v>
      </c>
      <c r="H98" s="16" t="str">
        <f t="shared" si="21"/>
        <v>比奇矿区</v>
      </c>
      <c r="I98" s="16">
        <f t="shared" si="22"/>
        <v>44</v>
      </c>
      <c r="K98" s="16">
        <f>原始值!D98+VLOOKUP($H98,怪物强度修正!$A$2:$R$17,COLUMN(K98)-9,FALSE)</f>
        <v>4</v>
      </c>
      <c r="L98" s="16">
        <f>原始值!E98+VLOOKUP($H98,怪物强度修正!$A$2:$R$17,COLUMN(L98)-9,FALSE)</f>
        <v>10</v>
      </c>
      <c r="M98" s="16">
        <f t="shared" si="17"/>
        <v>4</v>
      </c>
      <c r="N98" s="16">
        <f t="shared" si="18"/>
        <v>10</v>
      </c>
      <c r="O98" s="16">
        <f>原始值!H98+VLOOKUP($H98,怪物强度修正!$A$2:$R$17,COLUMN(O98)-9,FALSE)</f>
        <v>0</v>
      </c>
      <c r="P98" s="16">
        <f>原始值!I98+VLOOKUP($H98,怪物强度修正!$A$2:$R$17,COLUMN(P98)-9,FALSE)</f>
        <v>0</v>
      </c>
      <c r="Q98" s="16">
        <f>原始值!J98+VLOOKUP($H98,怪物强度修正!$A$2:$R$17,COLUMN(Q98)-9,FALSE)</f>
        <v>2</v>
      </c>
      <c r="R98" s="16">
        <f>原始值!K98+VLOOKUP($H98,怪物强度修正!$A$2:$R$17,COLUMN(R98)-9,FALSE)</f>
        <v>2</v>
      </c>
      <c r="S98" s="16">
        <f>原始值!L98+VLOOKUP($H98,怪物强度修正!$A$2:$R$17,COLUMN(S98)-9,FALSE)</f>
        <v>1</v>
      </c>
      <c r="T98" s="16">
        <f>原始值!M98+VLOOKUP($H98,怪物强度修正!$A$2:$R$17,COLUMN(T98)-9,FALSE)</f>
        <v>1</v>
      </c>
      <c r="U98" s="16">
        <f>原始值!N98+VLOOKUP($H98,怪物强度修正!$A$2:$R$17,COLUMN(U98)-9,FALSE)</f>
        <v>54</v>
      </c>
      <c r="V98" s="16">
        <v>1</v>
      </c>
      <c r="W98" s="16">
        <f>原始值!P98+VLOOKUP($H98,怪物强度修正!$A$2:$R$17,COLUMN(W98)-9,FALSE)</f>
        <v>5</v>
      </c>
      <c r="X98" s="16">
        <f>原始值!Q98+VLOOKUP($H98,怪物强度修正!$A$2:$R$17,COLUMN(X98)-9,FALSE)</f>
        <v>10</v>
      </c>
      <c r="Y98" s="16">
        <f>原始值!R98+VLOOKUP($H98,怪物强度修正!$A$2:$R$17,COLUMN(Y98)-9,FALSE)</f>
        <v>75</v>
      </c>
      <c r="Z98" s="16">
        <f>原始值!S98+VLOOKUP($H98,怪物强度修正!$A$2:$R$17,COLUMN(Z98)-9,FALSE)</f>
        <v>300</v>
      </c>
      <c r="AA98" s="16">
        <f>原始值!T98+VLOOKUP($H98,怪物强度修正!$A$2:$R$17,COLUMN(AA98)-9,FALSE)</f>
        <v>50</v>
      </c>
    </row>
    <row r="99" spans="1:27" s="16" customFormat="1">
      <c r="A99" s="16" t="str">
        <f t="shared" si="0"/>
        <v>PhyType.NewNpcType_231</v>
      </c>
      <c r="B99" s="16" t="s">
        <v>137</v>
      </c>
      <c r="C99" s="16">
        <v>231</v>
      </c>
      <c r="D99" s="16">
        <v>231</v>
      </c>
      <c r="G99" s="16" t="str">
        <f t="shared" si="20"/>
        <v>直立僵尸1微型</v>
      </c>
      <c r="H99" s="16" t="str">
        <f t="shared" si="21"/>
        <v>比奇矿区</v>
      </c>
      <c r="I99" s="16">
        <f t="shared" si="22"/>
        <v>44</v>
      </c>
      <c r="K99" s="16">
        <f>原始值!D99+VLOOKUP($H99,怪物强度修正!$A$2:$R$17,COLUMN(K99)-9,FALSE)</f>
        <v>4</v>
      </c>
      <c r="L99" s="16">
        <f>原始值!E99+VLOOKUP($H99,怪物强度修正!$A$2:$R$17,COLUMN(L99)-9,FALSE)</f>
        <v>12</v>
      </c>
      <c r="M99" s="16">
        <f t="shared" si="17"/>
        <v>4</v>
      </c>
      <c r="N99" s="16">
        <f t="shared" si="18"/>
        <v>12</v>
      </c>
      <c r="O99" s="16">
        <f>原始值!H99+VLOOKUP($H99,怪物强度修正!$A$2:$R$17,COLUMN(O99)-9,FALSE)</f>
        <v>0</v>
      </c>
      <c r="P99" s="16">
        <f>原始值!I99+VLOOKUP($H99,怪物强度修正!$A$2:$R$17,COLUMN(P99)-9,FALSE)</f>
        <v>0</v>
      </c>
      <c r="Q99" s="16">
        <f>原始值!J99+VLOOKUP($H99,怪物强度修正!$A$2:$R$17,COLUMN(Q99)-9,FALSE)</f>
        <v>2</v>
      </c>
      <c r="R99" s="16">
        <f>原始值!K99+VLOOKUP($H99,怪物强度修正!$A$2:$R$17,COLUMN(R99)-9,FALSE)</f>
        <v>2</v>
      </c>
      <c r="S99" s="16">
        <f>原始值!L99+VLOOKUP($H99,怪物强度修正!$A$2:$R$17,COLUMN(S99)-9,FALSE)</f>
        <v>1</v>
      </c>
      <c r="T99" s="16">
        <f>原始值!M99+VLOOKUP($H99,怪物强度修正!$A$2:$R$17,COLUMN(T99)-9,FALSE)</f>
        <v>1</v>
      </c>
      <c r="U99" s="16">
        <f>原始值!N99+VLOOKUP($H99,怪物强度修正!$A$2:$R$17,COLUMN(U99)-9,FALSE)</f>
        <v>54</v>
      </c>
      <c r="V99" s="16">
        <v>1</v>
      </c>
      <c r="W99" s="16">
        <f>原始值!P99+VLOOKUP($H99,怪物强度修正!$A$2:$R$17,COLUMN(W99)-9,FALSE)</f>
        <v>5</v>
      </c>
      <c r="X99" s="16">
        <f>原始值!Q99+VLOOKUP($H99,怪物强度修正!$A$2:$R$17,COLUMN(X99)-9,FALSE)</f>
        <v>10</v>
      </c>
      <c r="Y99" s="16">
        <f>原始值!R99+VLOOKUP($H99,怪物强度修正!$A$2:$R$17,COLUMN(Y99)-9,FALSE)</f>
        <v>75</v>
      </c>
      <c r="Z99" s="16">
        <f>原始值!S99+VLOOKUP($H99,怪物强度修正!$A$2:$R$17,COLUMN(Z99)-9,FALSE)</f>
        <v>300</v>
      </c>
      <c r="AA99" s="16">
        <f>原始值!T99+VLOOKUP($H99,怪物强度修正!$A$2:$R$17,COLUMN(AA99)-9,FALSE)</f>
        <v>50</v>
      </c>
    </row>
    <row r="100" spans="1:27" s="16" customFormat="1">
      <c r="A100" s="16" t="str">
        <f t="shared" si="0"/>
        <v>PhyType.NewNpcType_232</v>
      </c>
      <c r="B100" s="16" t="s">
        <v>137</v>
      </c>
      <c r="C100" s="16">
        <v>232</v>
      </c>
      <c r="D100" s="16">
        <v>232</v>
      </c>
      <c r="G100" s="16" t="str">
        <f t="shared" si="20"/>
        <v>残肢僵尸2微型</v>
      </c>
      <c r="H100" s="16" t="str">
        <f t="shared" si="21"/>
        <v>比奇矿区</v>
      </c>
      <c r="I100" s="16">
        <f t="shared" si="22"/>
        <v>21</v>
      </c>
      <c r="K100" s="16">
        <f>原始值!D100+VLOOKUP($H100,怪物强度修正!$A$2:$R$17,COLUMN(K100)-9,FALSE)</f>
        <v>4</v>
      </c>
      <c r="L100" s="16">
        <f>原始值!E100+VLOOKUP($H100,怪物强度修正!$A$2:$R$17,COLUMN(L100)-9,FALSE)</f>
        <v>10</v>
      </c>
      <c r="M100" s="16">
        <f t="shared" si="17"/>
        <v>4</v>
      </c>
      <c r="N100" s="16">
        <f t="shared" si="18"/>
        <v>10</v>
      </c>
      <c r="O100" s="16">
        <f>原始值!H100+VLOOKUP($H100,怪物强度修正!$A$2:$R$17,COLUMN(O100)-9,FALSE)</f>
        <v>0</v>
      </c>
      <c r="P100" s="16">
        <f>原始值!I100+VLOOKUP($H100,怪物强度修正!$A$2:$R$17,COLUMN(P100)-9,FALSE)</f>
        <v>0</v>
      </c>
      <c r="Q100" s="16">
        <f>原始值!J100+VLOOKUP($H100,怪物强度修正!$A$2:$R$17,COLUMN(Q100)-9,FALSE)</f>
        <v>2</v>
      </c>
      <c r="R100" s="16">
        <f>原始值!K100+VLOOKUP($H100,怪物强度修正!$A$2:$R$17,COLUMN(R100)-9,FALSE)</f>
        <v>2</v>
      </c>
      <c r="S100" s="16">
        <f>原始值!L100+VLOOKUP($H100,怪物强度修正!$A$2:$R$17,COLUMN(S100)-9,FALSE)</f>
        <v>1</v>
      </c>
      <c r="T100" s="16">
        <f>原始值!M100+VLOOKUP($H100,怪物强度修正!$A$2:$R$17,COLUMN(T100)-9,FALSE)</f>
        <v>1</v>
      </c>
      <c r="U100" s="16">
        <f>原始值!N100+VLOOKUP($H100,怪物强度修正!$A$2:$R$17,COLUMN(U100)-9,FALSE)</f>
        <v>27</v>
      </c>
      <c r="V100" s="16">
        <v>1</v>
      </c>
      <c r="W100" s="16">
        <f>原始值!P100+VLOOKUP($H100,怪物强度修正!$A$2:$R$17,COLUMN(W100)-9,FALSE)</f>
        <v>5</v>
      </c>
      <c r="X100" s="16">
        <f>原始值!Q100+VLOOKUP($H100,怪物强度修正!$A$2:$R$17,COLUMN(X100)-9,FALSE)</f>
        <v>10</v>
      </c>
      <c r="Y100" s="16">
        <f>原始值!R100+VLOOKUP($H100,怪物强度修正!$A$2:$R$17,COLUMN(Y100)-9,FALSE)</f>
        <v>75</v>
      </c>
      <c r="Z100" s="16">
        <f>原始值!S100+VLOOKUP($H100,怪物强度修正!$A$2:$R$17,COLUMN(Z100)-9,FALSE)</f>
        <v>300</v>
      </c>
      <c r="AA100" s="16">
        <f>原始值!T100+VLOOKUP($H100,怪物强度修正!$A$2:$R$17,COLUMN(AA100)-9,FALSE)</f>
        <v>50</v>
      </c>
    </row>
    <row r="101" spans="1:27" s="16" customFormat="1">
      <c r="A101" s="16" t="str">
        <f t="shared" si="0"/>
        <v>PhyType.NewNpcType_233</v>
      </c>
      <c r="B101" s="16" t="s">
        <v>137</v>
      </c>
      <c r="C101" s="16">
        <v>233</v>
      </c>
      <c r="D101" s="16">
        <v>233</v>
      </c>
      <c r="G101" s="16" t="str">
        <f t="shared" si="20"/>
        <v>直立僵尸2微型</v>
      </c>
      <c r="H101" s="16" t="str">
        <f t="shared" si="21"/>
        <v>比奇矿区</v>
      </c>
      <c r="I101" s="16">
        <f t="shared" si="22"/>
        <v>21</v>
      </c>
      <c r="K101" s="16">
        <f>原始值!D101+VLOOKUP($H101,怪物强度修正!$A$2:$R$17,COLUMN(K101)-9,FALSE)</f>
        <v>4</v>
      </c>
      <c r="L101" s="16">
        <f>原始值!E101+VLOOKUP($H101,怪物强度修正!$A$2:$R$17,COLUMN(L101)-9,FALSE)</f>
        <v>12</v>
      </c>
      <c r="M101" s="16">
        <f t="shared" si="17"/>
        <v>4</v>
      </c>
      <c r="N101" s="16">
        <f t="shared" si="18"/>
        <v>12</v>
      </c>
      <c r="O101" s="16">
        <f>原始值!H101+VLOOKUP($H101,怪物强度修正!$A$2:$R$17,COLUMN(O101)-9,FALSE)</f>
        <v>0</v>
      </c>
      <c r="P101" s="16">
        <f>原始值!I101+VLOOKUP($H101,怪物强度修正!$A$2:$R$17,COLUMN(P101)-9,FALSE)</f>
        <v>0</v>
      </c>
      <c r="Q101" s="16">
        <f>原始值!J101+VLOOKUP($H101,怪物强度修正!$A$2:$R$17,COLUMN(Q101)-9,FALSE)</f>
        <v>2</v>
      </c>
      <c r="R101" s="16">
        <f>原始值!K101+VLOOKUP($H101,怪物强度修正!$A$2:$R$17,COLUMN(R101)-9,FALSE)</f>
        <v>2</v>
      </c>
      <c r="S101" s="16">
        <f>原始值!L101+VLOOKUP($H101,怪物强度修正!$A$2:$R$17,COLUMN(S101)-9,FALSE)</f>
        <v>1</v>
      </c>
      <c r="T101" s="16">
        <f>原始值!M101+VLOOKUP($H101,怪物强度修正!$A$2:$R$17,COLUMN(T101)-9,FALSE)</f>
        <v>1</v>
      </c>
      <c r="U101" s="16">
        <f>原始值!N101+VLOOKUP($H101,怪物强度修正!$A$2:$R$17,COLUMN(U101)-9,FALSE)</f>
        <v>27</v>
      </c>
      <c r="V101" s="16">
        <v>1</v>
      </c>
      <c r="W101" s="16">
        <f>原始值!P101+VLOOKUP($H101,怪物强度修正!$A$2:$R$17,COLUMN(W101)-9,FALSE)</f>
        <v>5</v>
      </c>
      <c r="X101" s="16">
        <f>原始值!Q101+VLOOKUP($H101,怪物强度修正!$A$2:$R$17,COLUMN(X101)-9,FALSE)</f>
        <v>10</v>
      </c>
      <c r="Y101" s="16">
        <f>原始值!R101+VLOOKUP($H101,怪物强度修正!$A$2:$R$17,COLUMN(Y101)-9,FALSE)</f>
        <v>75</v>
      </c>
      <c r="Z101" s="16">
        <f>原始值!S101+VLOOKUP($H101,怪物强度修正!$A$2:$R$17,COLUMN(Z101)-9,FALSE)</f>
        <v>300</v>
      </c>
      <c r="AA101" s="16">
        <f>原始值!T101+VLOOKUP($H101,怪物强度修正!$A$2:$R$17,COLUMN(AA101)-9,FALSE)</f>
        <v>50</v>
      </c>
    </row>
    <row r="102" spans="1:27" s="16" customFormat="1">
      <c r="A102" s="16" t="str">
        <f t="shared" si="0"/>
        <v>PhyType.NewNpcType_234</v>
      </c>
      <c r="B102" s="16" t="s">
        <v>137</v>
      </c>
      <c r="C102" s="16">
        <v>234</v>
      </c>
      <c r="D102" s="16">
        <v>234</v>
      </c>
      <c r="G102" s="16" t="str">
        <f t="shared" si="20"/>
        <v>祖玛老鼠微型</v>
      </c>
      <c r="H102" s="16" t="str">
        <f t="shared" si="21"/>
        <v>祖玛寺庙</v>
      </c>
      <c r="I102" s="16">
        <f t="shared" si="22"/>
        <v>209</v>
      </c>
      <c r="K102" s="16">
        <f>原始值!D102+VLOOKUP($H102,怪物强度修正!$A$2:$R$17,COLUMN(K102)-9,FALSE)</f>
        <v>14</v>
      </c>
      <c r="L102" s="16">
        <f>原始值!E102+VLOOKUP($H102,怪物强度修正!$A$2:$R$17,COLUMN(L102)-9,FALSE)</f>
        <v>22</v>
      </c>
      <c r="M102" s="16">
        <f t="shared" si="17"/>
        <v>14</v>
      </c>
      <c r="N102" s="16">
        <f t="shared" si="18"/>
        <v>22</v>
      </c>
      <c r="O102" s="16">
        <f>原始值!H102+VLOOKUP($H102,怪物强度修正!$A$2:$R$17,COLUMN(O102)-9,FALSE)</f>
        <v>0</v>
      </c>
      <c r="P102" s="16">
        <f>原始值!I102+VLOOKUP($H102,怪物强度修正!$A$2:$R$17,COLUMN(P102)-9,FALSE)</f>
        <v>0</v>
      </c>
      <c r="Q102" s="16">
        <f>原始值!J102+VLOOKUP($H102,怪物强度修正!$A$2:$R$17,COLUMN(Q102)-9,FALSE)</f>
        <v>4</v>
      </c>
      <c r="R102" s="16">
        <f>原始值!K102+VLOOKUP($H102,怪物强度修正!$A$2:$R$17,COLUMN(R102)-9,FALSE)</f>
        <v>4</v>
      </c>
      <c r="S102" s="16">
        <f>原始值!L102+VLOOKUP($H102,怪物强度修正!$A$2:$R$17,COLUMN(S102)-9,FALSE)</f>
        <v>7</v>
      </c>
      <c r="T102" s="16">
        <f>原始值!M102+VLOOKUP($H102,怪物强度修正!$A$2:$R$17,COLUMN(T102)-9,FALSE)</f>
        <v>7</v>
      </c>
      <c r="U102" s="16">
        <f>原始值!N102+VLOOKUP($H102,怪物强度修正!$A$2:$R$17,COLUMN(U102)-9,FALSE)</f>
        <v>270</v>
      </c>
      <c r="V102" s="16">
        <v>1</v>
      </c>
      <c r="W102" s="16">
        <f>原始值!P102+VLOOKUP($H102,怪物强度修正!$A$2:$R$17,COLUMN(W102)-9,FALSE)</f>
        <v>12</v>
      </c>
      <c r="X102" s="16">
        <f>原始值!Q102+VLOOKUP($H102,怪物强度修正!$A$2:$R$17,COLUMN(X102)-9,FALSE)</f>
        <v>15</v>
      </c>
      <c r="Y102" s="16">
        <f>原始值!R102+VLOOKUP($H102,怪物强度修正!$A$2:$R$17,COLUMN(Y102)-9,FALSE)</f>
        <v>75</v>
      </c>
      <c r="Z102" s="16">
        <f>原始值!S102+VLOOKUP($H102,怪物强度修正!$A$2:$R$17,COLUMN(Z102)-9,FALSE)</f>
        <v>300</v>
      </c>
      <c r="AA102" s="16">
        <f>原始值!T102+VLOOKUP($H102,怪物强度修正!$A$2:$R$17,COLUMN(AA102)-9,FALSE)</f>
        <v>50</v>
      </c>
    </row>
    <row r="103" spans="1:27" s="16" customFormat="1">
      <c r="A103" s="16" t="str">
        <f t="shared" si="0"/>
        <v>PhyType.NewNpcType_235</v>
      </c>
      <c r="B103" s="16" t="s">
        <v>137</v>
      </c>
      <c r="C103" s="16">
        <v>235</v>
      </c>
      <c r="D103" s="16">
        <v>235</v>
      </c>
      <c r="G103" s="16" t="str">
        <f t="shared" si="20"/>
        <v>祖玛卫士弓微型</v>
      </c>
      <c r="H103" s="16" t="str">
        <f t="shared" si="21"/>
        <v>祖玛寺庙</v>
      </c>
      <c r="I103" s="16">
        <f t="shared" si="22"/>
        <v>221</v>
      </c>
      <c r="K103" s="16">
        <f>原始值!D103+VLOOKUP($H103,怪物强度修正!$A$2:$R$17,COLUMN(K103)-9,FALSE)</f>
        <v>14</v>
      </c>
      <c r="L103" s="16">
        <f>原始值!E103+VLOOKUP($H103,怪物强度修正!$A$2:$R$17,COLUMN(L103)-9,FALSE)</f>
        <v>18</v>
      </c>
      <c r="M103" s="16">
        <f t="shared" si="17"/>
        <v>14</v>
      </c>
      <c r="N103" s="16">
        <f t="shared" si="18"/>
        <v>18</v>
      </c>
      <c r="O103" s="16">
        <f>原始值!H103+VLOOKUP($H103,怪物强度修正!$A$2:$R$17,COLUMN(O103)-9,FALSE)</f>
        <v>0</v>
      </c>
      <c r="P103" s="16">
        <f>原始值!I103+VLOOKUP($H103,怪物强度修正!$A$2:$R$17,COLUMN(P103)-9,FALSE)</f>
        <v>0</v>
      </c>
      <c r="Q103" s="16">
        <f>原始值!J103+VLOOKUP($H103,怪物强度修正!$A$2:$R$17,COLUMN(Q103)-9,FALSE)</f>
        <v>11</v>
      </c>
      <c r="R103" s="16">
        <f>原始值!K103+VLOOKUP($H103,怪物强度修正!$A$2:$R$17,COLUMN(R103)-9,FALSE)</f>
        <v>11</v>
      </c>
      <c r="S103" s="16">
        <f>原始值!L103+VLOOKUP($H103,怪物强度修正!$A$2:$R$17,COLUMN(S103)-9,FALSE)</f>
        <v>12</v>
      </c>
      <c r="T103" s="16">
        <f>原始值!M103+VLOOKUP($H103,怪物强度修正!$A$2:$R$17,COLUMN(T103)-9,FALSE)</f>
        <v>12</v>
      </c>
      <c r="U103" s="16">
        <f>原始值!N103+VLOOKUP($H103,怪物强度修正!$A$2:$R$17,COLUMN(U103)-9,FALSE)</f>
        <v>270</v>
      </c>
      <c r="V103" s="16">
        <v>1</v>
      </c>
      <c r="W103" s="16">
        <f>原始值!P103+VLOOKUP($H103,怪物强度修正!$A$2:$R$17,COLUMN(W103)-9,FALSE)</f>
        <v>15</v>
      </c>
      <c r="X103" s="16">
        <f>原始值!Q103+VLOOKUP($H103,怪物强度修正!$A$2:$R$17,COLUMN(X103)-9,FALSE)</f>
        <v>15</v>
      </c>
      <c r="Y103" s="16">
        <f>原始值!R103+VLOOKUP($H103,怪物强度修正!$A$2:$R$17,COLUMN(Y103)-9,FALSE)</f>
        <v>75</v>
      </c>
      <c r="Z103" s="16">
        <f>原始值!S103+VLOOKUP($H103,怪物强度修正!$A$2:$R$17,COLUMN(Z103)-9,FALSE)</f>
        <v>300</v>
      </c>
      <c r="AA103" s="16">
        <f>原始值!T103+VLOOKUP($H103,怪物强度修正!$A$2:$R$17,COLUMN(AA103)-9,FALSE)</f>
        <v>50</v>
      </c>
    </row>
    <row r="104" spans="1:27" s="16" customFormat="1">
      <c r="A104" s="16" t="str">
        <f t="shared" si="0"/>
        <v>PhyType.NewNpcType_236</v>
      </c>
      <c r="B104" s="16" t="s">
        <v>137</v>
      </c>
      <c r="C104" s="16">
        <v>236</v>
      </c>
      <c r="D104" s="16">
        <v>236</v>
      </c>
      <c r="G104" s="16" t="str">
        <f t="shared" si="20"/>
        <v>祖玛卫士枪微型</v>
      </c>
      <c r="H104" s="16" t="str">
        <f t="shared" si="21"/>
        <v>祖玛寺庙</v>
      </c>
      <c r="I104" s="16">
        <f t="shared" si="22"/>
        <v>269</v>
      </c>
      <c r="K104" s="16">
        <f>原始值!D104+VLOOKUP($H104,怪物强度修正!$A$2:$R$17,COLUMN(K104)-9,FALSE)</f>
        <v>20</v>
      </c>
      <c r="L104" s="16">
        <f>原始值!E104+VLOOKUP($H104,怪物强度修正!$A$2:$R$17,COLUMN(L104)-9,FALSE)</f>
        <v>30</v>
      </c>
      <c r="M104" s="16">
        <f t="shared" si="17"/>
        <v>20</v>
      </c>
      <c r="N104" s="16">
        <f t="shared" si="18"/>
        <v>30</v>
      </c>
      <c r="O104" s="16">
        <f>原始值!H104+VLOOKUP($H104,怪物强度修正!$A$2:$R$17,COLUMN(O104)-9,FALSE)</f>
        <v>0</v>
      </c>
      <c r="P104" s="16">
        <f>原始值!I104+VLOOKUP($H104,怪物强度修正!$A$2:$R$17,COLUMN(P104)-9,FALSE)</f>
        <v>0</v>
      </c>
      <c r="Q104" s="16">
        <f>原始值!J104+VLOOKUP($H104,怪物强度修正!$A$2:$R$17,COLUMN(Q104)-9,FALSE)</f>
        <v>13</v>
      </c>
      <c r="R104" s="16">
        <f>原始值!K104+VLOOKUP($H104,怪物强度修正!$A$2:$R$17,COLUMN(R104)-9,FALSE)</f>
        <v>13</v>
      </c>
      <c r="S104" s="16">
        <f>原始值!L104+VLOOKUP($H104,怪物强度修正!$A$2:$R$17,COLUMN(S104)-9,FALSE)</f>
        <v>14</v>
      </c>
      <c r="T104" s="16">
        <f>原始值!M104+VLOOKUP($H104,怪物强度修正!$A$2:$R$17,COLUMN(T104)-9,FALSE)</f>
        <v>14</v>
      </c>
      <c r="U104" s="16">
        <f>原始值!N104+VLOOKUP($H104,怪物强度修正!$A$2:$R$17,COLUMN(U104)-9,FALSE)</f>
        <v>350</v>
      </c>
      <c r="V104" s="16">
        <v>1</v>
      </c>
      <c r="W104" s="16">
        <f>原始值!P104+VLOOKUP($H104,怪物强度修正!$A$2:$R$17,COLUMN(W104)-9,FALSE)</f>
        <v>15</v>
      </c>
      <c r="X104" s="16">
        <f>原始值!Q104+VLOOKUP($H104,怪物强度修正!$A$2:$R$17,COLUMN(X104)-9,FALSE)</f>
        <v>17</v>
      </c>
      <c r="Y104" s="16">
        <f>原始值!R104+VLOOKUP($H104,怪物强度修正!$A$2:$R$17,COLUMN(Y104)-9,FALSE)</f>
        <v>75</v>
      </c>
      <c r="Z104" s="16">
        <f>原始值!S104+VLOOKUP($H104,怪物强度修正!$A$2:$R$17,COLUMN(Z104)-9,FALSE)</f>
        <v>300</v>
      </c>
      <c r="AA104" s="16">
        <f>原始值!T104+VLOOKUP($H104,怪物强度修正!$A$2:$R$17,COLUMN(AA104)-9,FALSE)</f>
        <v>50</v>
      </c>
    </row>
    <row r="105" spans="1:27" s="16" customFormat="1">
      <c r="A105" s="16" t="str">
        <f t="shared" si="0"/>
        <v>PhyType.NewNpcType_237</v>
      </c>
      <c r="B105" s="16" t="s">
        <v>137</v>
      </c>
      <c r="C105" s="16">
        <v>237</v>
      </c>
      <c r="D105" s="16">
        <v>237</v>
      </c>
      <c r="G105" s="16" t="str">
        <f t="shared" si="20"/>
        <v>祖玛卫士锤微型</v>
      </c>
      <c r="H105" s="16" t="str">
        <f t="shared" si="21"/>
        <v>祖玛寺庙</v>
      </c>
      <c r="I105" s="16">
        <f t="shared" si="22"/>
        <v>287</v>
      </c>
      <c r="K105" s="16">
        <f>原始值!D105+VLOOKUP($H105,怪物强度修正!$A$2:$R$17,COLUMN(K105)-9,FALSE)</f>
        <v>22</v>
      </c>
      <c r="L105" s="16">
        <f>原始值!E105+VLOOKUP($H105,怪物强度修正!$A$2:$R$17,COLUMN(L105)-9,FALSE)</f>
        <v>31</v>
      </c>
      <c r="M105" s="16">
        <f t="shared" si="17"/>
        <v>22</v>
      </c>
      <c r="N105" s="16">
        <f t="shared" si="18"/>
        <v>31</v>
      </c>
      <c r="O105" s="16">
        <f>原始值!H105+VLOOKUP($H105,怪物强度修正!$A$2:$R$17,COLUMN(O105)-9,FALSE)</f>
        <v>0</v>
      </c>
      <c r="P105" s="16">
        <f>原始值!I105+VLOOKUP($H105,怪物强度修正!$A$2:$R$17,COLUMN(P105)-9,FALSE)</f>
        <v>0</v>
      </c>
      <c r="Q105" s="16">
        <f>原始值!J105+VLOOKUP($H105,怪物强度修正!$A$2:$R$17,COLUMN(Q105)-9,FALSE)</f>
        <v>16</v>
      </c>
      <c r="R105" s="16">
        <f>原始值!K105+VLOOKUP($H105,怪物强度修正!$A$2:$R$17,COLUMN(R105)-9,FALSE)</f>
        <v>16</v>
      </c>
      <c r="S105" s="16">
        <f>原始值!L105+VLOOKUP($H105,怪物强度修正!$A$2:$R$17,COLUMN(S105)-9,FALSE)</f>
        <v>17</v>
      </c>
      <c r="T105" s="16">
        <f>原始值!M105+VLOOKUP($H105,怪物强度修正!$A$2:$R$17,COLUMN(T105)-9,FALSE)</f>
        <v>17</v>
      </c>
      <c r="U105" s="16">
        <f>原始值!N105+VLOOKUP($H105,怪物强度修正!$A$2:$R$17,COLUMN(U105)-9,FALSE)</f>
        <v>350</v>
      </c>
      <c r="V105" s="16">
        <v>1</v>
      </c>
      <c r="W105" s="16">
        <f>原始值!P105+VLOOKUP($H105,怪物强度修正!$A$2:$R$17,COLUMN(W105)-9,FALSE)</f>
        <v>15</v>
      </c>
      <c r="X105" s="16">
        <f>原始值!Q105+VLOOKUP($H105,怪物强度修正!$A$2:$R$17,COLUMN(X105)-9,FALSE)</f>
        <v>17</v>
      </c>
      <c r="Y105" s="16">
        <f>原始值!R105+VLOOKUP($H105,怪物强度修正!$A$2:$R$17,COLUMN(Y105)-9,FALSE)</f>
        <v>75</v>
      </c>
      <c r="Z105" s="16">
        <f>原始值!S105+VLOOKUP($H105,怪物强度修正!$A$2:$R$17,COLUMN(Z105)-9,FALSE)</f>
        <v>300</v>
      </c>
      <c r="AA105" s="16">
        <f>原始值!T105+VLOOKUP($H105,怪物强度修正!$A$2:$R$17,COLUMN(AA105)-9,FALSE)</f>
        <v>50</v>
      </c>
    </row>
    <row r="106" spans="1:27" s="16" customFormat="1">
      <c r="A106" s="16" t="str">
        <f t="shared" ref="A106:A108" si="23">"PhyType.NewNpcType_"&amp;D106</f>
        <v>PhyType.NewNpcType_241</v>
      </c>
      <c r="B106" s="16" t="s">
        <v>137</v>
      </c>
      <c r="C106" s="16">
        <v>241</v>
      </c>
      <c r="D106" s="16">
        <v>241</v>
      </c>
      <c r="G106" s="16" t="str">
        <f t="shared" si="20"/>
        <v>角蝇微型</v>
      </c>
      <c r="H106" s="16" t="str">
        <f t="shared" si="21"/>
        <v>祖玛寺庙</v>
      </c>
      <c r="I106" s="16">
        <f t="shared" si="22"/>
        <v>179</v>
      </c>
      <c r="K106" s="16">
        <f>原始值!D106+VLOOKUP($H106,怪物强度修正!$A$2:$R$17,COLUMN(K106)-9,FALSE)</f>
        <v>4</v>
      </c>
      <c r="L106" s="16">
        <f>原始值!E106+VLOOKUP($H106,怪物强度修正!$A$2:$R$17,COLUMN(L106)-9,FALSE)</f>
        <v>4</v>
      </c>
      <c r="M106" s="16">
        <f t="shared" si="17"/>
        <v>4</v>
      </c>
      <c r="N106" s="16">
        <f t="shared" si="18"/>
        <v>4</v>
      </c>
      <c r="O106" s="16">
        <f>原始值!H106+VLOOKUP($H106,怪物强度修正!$A$2:$R$17,COLUMN(O106)-9,FALSE)</f>
        <v>0</v>
      </c>
      <c r="P106" s="16">
        <f>原始值!I106+VLOOKUP($H106,怪物强度修正!$A$2:$R$17,COLUMN(P106)-9,FALSE)</f>
        <v>0</v>
      </c>
      <c r="Q106" s="16">
        <f>原始值!J106+VLOOKUP($H106,怪物强度修正!$A$2:$R$17,COLUMN(Q106)-9,FALSE)</f>
        <v>1</v>
      </c>
      <c r="R106" s="16">
        <f>原始值!K106+VLOOKUP($H106,怪物强度修正!$A$2:$R$17,COLUMN(R106)-9,FALSE)</f>
        <v>1</v>
      </c>
      <c r="S106" s="16">
        <f>原始值!L106+VLOOKUP($H106,怪物强度修正!$A$2:$R$17,COLUMN(S106)-9,FALSE)</f>
        <v>8</v>
      </c>
      <c r="T106" s="16">
        <f>原始值!M106+VLOOKUP($H106,怪物强度修正!$A$2:$R$17,COLUMN(T106)-9,FALSE)</f>
        <v>8</v>
      </c>
      <c r="U106" s="16">
        <f>原始值!N106+VLOOKUP($H106,怪物强度修正!$A$2:$R$17,COLUMN(U106)-9,FALSE)</f>
        <v>140</v>
      </c>
      <c r="V106" s="16">
        <v>1</v>
      </c>
      <c r="W106" s="16">
        <f>原始值!P106+VLOOKUP($H106,怪物强度修正!$A$2:$R$17,COLUMN(W106)-9,FALSE)</f>
        <v>1</v>
      </c>
      <c r="X106" s="16">
        <f>原始值!Q106+VLOOKUP($H106,怪物强度修正!$A$2:$R$17,COLUMN(X106)-9,FALSE)</f>
        <v>1</v>
      </c>
      <c r="Y106" s="16">
        <f>原始值!R106+VLOOKUP($H106,怪物强度修正!$A$2:$R$17,COLUMN(Y106)-9,FALSE)</f>
        <v>75</v>
      </c>
      <c r="Z106" s="16">
        <f>原始值!S106+VLOOKUP($H106,怪物强度修正!$A$2:$R$17,COLUMN(Z106)-9,FALSE)</f>
        <v>300</v>
      </c>
      <c r="AA106" s="16">
        <f>原始值!T106+VLOOKUP($H106,怪物强度修正!$A$2:$R$17,COLUMN(AA106)-9,FALSE)</f>
        <v>50</v>
      </c>
    </row>
    <row r="107" spans="1:27" s="16" customFormat="1">
      <c r="A107" s="16" t="str">
        <f t="shared" si="23"/>
        <v>PhyType.NewNpcType_239</v>
      </c>
      <c r="B107" s="16" t="s">
        <v>137</v>
      </c>
      <c r="C107" s="16">
        <v>239</v>
      </c>
      <c r="D107" s="16">
        <v>239</v>
      </c>
      <c r="G107" s="16" t="str">
        <f t="shared" si="20"/>
        <v>蝙蝠微型</v>
      </c>
      <c r="H107" s="16" t="str">
        <f t="shared" si="21"/>
        <v>祖玛寺庙</v>
      </c>
      <c r="I107" s="16">
        <f t="shared" si="22"/>
        <v>2</v>
      </c>
      <c r="K107" s="16">
        <f>原始值!D107+VLOOKUP($H107,怪物强度修正!$A$2:$R$17,COLUMN(K107)-9,FALSE)</f>
        <v>4</v>
      </c>
      <c r="L107" s="16">
        <f>原始值!E107+VLOOKUP($H107,怪物强度修正!$A$2:$R$17,COLUMN(L107)-9,FALSE)</f>
        <v>22</v>
      </c>
      <c r="M107" s="16">
        <f t="shared" si="17"/>
        <v>4</v>
      </c>
      <c r="N107" s="16">
        <f t="shared" si="18"/>
        <v>22</v>
      </c>
      <c r="O107" s="16">
        <f>原始值!H107+VLOOKUP($H107,怪物强度修正!$A$2:$R$17,COLUMN(O107)-9,FALSE)</f>
        <v>0</v>
      </c>
      <c r="P107" s="16">
        <f>原始值!I107+VLOOKUP($H107,怪物强度修正!$A$2:$R$17,COLUMN(P107)-9,FALSE)</f>
        <v>0</v>
      </c>
      <c r="Q107" s="16">
        <f>原始值!J107+VLOOKUP($H107,怪物强度修正!$A$2:$R$17,COLUMN(Q107)-9,FALSE)</f>
        <v>1</v>
      </c>
      <c r="R107" s="16">
        <f>原始值!K107+VLOOKUP($H107,怪物强度修正!$A$2:$R$17,COLUMN(R107)-9,FALSE)</f>
        <v>1</v>
      </c>
      <c r="S107" s="16">
        <f>原始值!L107+VLOOKUP($H107,怪物强度修正!$A$2:$R$17,COLUMN(S107)-9,FALSE)</f>
        <v>2</v>
      </c>
      <c r="T107" s="16">
        <f>原始值!M107+VLOOKUP($H107,怪物强度修正!$A$2:$R$17,COLUMN(T107)-9,FALSE)</f>
        <v>2</v>
      </c>
      <c r="U107" s="16">
        <f>原始值!N107+VLOOKUP($H107,怪物强度修正!$A$2:$R$17,COLUMN(U107)-9,FALSE)</f>
        <v>2</v>
      </c>
      <c r="V107" s="16">
        <v>1</v>
      </c>
      <c r="W107" s="16">
        <f>原始值!P107+VLOOKUP($H107,怪物强度修正!$A$2:$R$17,COLUMN(W107)-9,FALSE)</f>
        <v>18</v>
      </c>
      <c r="X107" s="16">
        <f>原始值!Q107+VLOOKUP($H107,怪物强度修正!$A$2:$R$17,COLUMN(X107)-9,FALSE)</f>
        <v>5</v>
      </c>
      <c r="Y107" s="16">
        <f>原始值!R107+VLOOKUP($H107,怪物强度修正!$A$2:$R$17,COLUMN(Y107)-9,FALSE)</f>
        <v>75</v>
      </c>
      <c r="Z107" s="16">
        <f>原始值!S107+VLOOKUP($H107,怪物强度修正!$A$2:$R$17,COLUMN(Z107)-9,FALSE)</f>
        <v>300</v>
      </c>
      <c r="AA107" s="16">
        <f>原始值!T107+VLOOKUP($H107,怪物强度修正!$A$2:$R$17,COLUMN(AA107)-9,FALSE)</f>
        <v>50</v>
      </c>
    </row>
    <row r="108" spans="1:27" s="16" customFormat="1">
      <c r="A108" s="16" t="str">
        <f t="shared" si="23"/>
        <v>PhyType.NewNpcType_240</v>
      </c>
      <c r="B108" s="16" t="s">
        <v>137</v>
      </c>
      <c r="C108" s="16">
        <v>240</v>
      </c>
      <c r="D108" s="16">
        <v>240</v>
      </c>
      <c r="G108" s="16" t="str">
        <f t="shared" si="20"/>
        <v>楔蛾微型</v>
      </c>
      <c r="H108" s="16" t="str">
        <f t="shared" si="21"/>
        <v>祖玛寺庙</v>
      </c>
      <c r="I108" s="16">
        <f t="shared" si="22"/>
        <v>209</v>
      </c>
      <c r="K108" s="16">
        <f>原始值!D108+VLOOKUP($H108,怪物强度修正!$A$2:$R$17,COLUMN(K108)-9,FALSE)</f>
        <v>14</v>
      </c>
      <c r="L108" s="16">
        <f>原始值!E108+VLOOKUP($H108,怪物强度修正!$A$2:$R$17,COLUMN(L108)-9,FALSE)</f>
        <v>18</v>
      </c>
      <c r="M108" s="16">
        <f t="shared" si="17"/>
        <v>14</v>
      </c>
      <c r="N108" s="16">
        <f t="shared" si="18"/>
        <v>18</v>
      </c>
      <c r="O108" s="16">
        <f>原始值!H108+VLOOKUP($H108,怪物强度修正!$A$2:$R$17,COLUMN(O108)-9,FALSE)</f>
        <v>0</v>
      </c>
      <c r="P108" s="16">
        <f>原始值!I108+VLOOKUP($H108,怪物强度修正!$A$2:$R$17,COLUMN(P108)-9,FALSE)</f>
        <v>0</v>
      </c>
      <c r="Q108" s="16">
        <f>原始值!J108+VLOOKUP($H108,怪物强度修正!$A$2:$R$17,COLUMN(Q108)-9,FALSE)</f>
        <v>1</v>
      </c>
      <c r="R108" s="16">
        <f>原始值!K108+VLOOKUP($H108,怪物强度修正!$A$2:$R$17,COLUMN(R108)-9,FALSE)</f>
        <v>1</v>
      </c>
      <c r="S108" s="16">
        <f>原始值!L108+VLOOKUP($H108,怪物强度修正!$A$2:$R$17,COLUMN(S108)-9,FALSE)</f>
        <v>7</v>
      </c>
      <c r="T108" s="16">
        <f>原始值!M108+VLOOKUP($H108,怪物强度修正!$A$2:$R$17,COLUMN(T108)-9,FALSE)</f>
        <v>7</v>
      </c>
      <c r="U108" s="16">
        <f>原始值!N108+VLOOKUP($H108,怪物强度修正!$A$2:$R$17,COLUMN(U108)-9,FALSE)</f>
        <v>150</v>
      </c>
      <c r="V108" s="16">
        <v>1</v>
      </c>
      <c r="W108" s="16">
        <f>原始值!P108+VLOOKUP($H108,怪物强度修正!$A$2:$R$17,COLUMN(W108)-9,FALSE)</f>
        <v>15</v>
      </c>
      <c r="X108" s="16">
        <f>原始值!Q108+VLOOKUP($H108,怪物强度修正!$A$2:$R$17,COLUMN(X108)-9,FALSE)</f>
        <v>17</v>
      </c>
      <c r="Y108" s="16">
        <f>原始值!R108+VLOOKUP($H108,怪物强度修正!$A$2:$R$17,COLUMN(Y108)-9,FALSE)</f>
        <v>75</v>
      </c>
      <c r="Z108" s="16">
        <f>原始值!S108+VLOOKUP($H108,怪物强度修正!$A$2:$R$17,COLUMN(Z108)-9,FALSE)</f>
        <v>300</v>
      </c>
      <c r="AA108" s="16">
        <f>原始值!T108+VLOOKUP($H108,怪物强度修正!$A$2:$R$17,COLUMN(AA108)-9,FALSE)</f>
        <v>50</v>
      </c>
    </row>
    <row r="109" spans="1:27" s="16" customFormat="1">
      <c r="A109" s="16" t="str">
        <f t="shared" ref="A109:A118" si="24">"PhyType.NewNpcType_"&amp;D109</f>
        <v>PhyType.NewNpcType_242</v>
      </c>
      <c r="B109" s="16" t="s">
        <v>137</v>
      </c>
      <c r="C109" s="16">
        <v>242</v>
      </c>
      <c r="D109" s="16">
        <v>242</v>
      </c>
      <c r="G109" s="16" t="str">
        <f t="shared" si="20"/>
        <v>鹰卫微型</v>
      </c>
      <c r="H109" s="16" t="str">
        <f t="shared" si="21"/>
        <v>赤月峡谷</v>
      </c>
      <c r="I109" s="16">
        <f t="shared" si="22"/>
        <v>299</v>
      </c>
      <c r="K109" s="16">
        <f>原始值!D109+VLOOKUP($H109,怪物强度修正!$A$2:$R$17,COLUMN(K109)-9,FALSE)</f>
        <v>29</v>
      </c>
      <c r="L109" s="16">
        <f>原始值!E109+VLOOKUP($H109,怪物强度修正!$A$2:$R$17,COLUMN(L109)-9,FALSE)</f>
        <v>45</v>
      </c>
      <c r="M109" s="16">
        <f t="shared" ref="M109:M118" si="25">K109</f>
        <v>29</v>
      </c>
      <c r="N109" s="16">
        <f t="shared" ref="N109:N118" si="26">L109</f>
        <v>45</v>
      </c>
      <c r="O109" s="16">
        <f>原始值!H109+VLOOKUP($H109,怪物强度修正!$A$2:$R$17,COLUMN(O109)-9,FALSE)</f>
        <v>0</v>
      </c>
      <c r="P109" s="16">
        <f>原始值!I109+VLOOKUP($H109,怪物强度修正!$A$2:$R$17,COLUMN(P109)-9,FALSE)</f>
        <v>0</v>
      </c>
      <c r="Q109" s="16">
        <f>原始值!J109+VLOOKUP($H109,怪物强度修正!$A$2:$R$17,COLUMN(Q109)-9,FALSE)</f>
        <v>16</v>
      </c>
      <c r="R109" s="16">
        <f>原始值!K109+VLOOKUP($H109,怪物强度修正!$A$2:$R$17,COLUMN(R109)-9,FALSE)</f>
        <v>16</v>
      </c>
      <c r="S109" s="16">
        <f>原始值!L109+VLOOKUP($H109,怪物强度修正!$A$2:$R$17,COLUMN(S109)-9,FALSE)</f>
        <v>20</v>
      </c>
      <c r="T109" s="16">
        <f>原始值!M109+VLOOKUP($H109,怪物强度修正!$A$2:$R$17,COLUMN(T109)-9,FALSE)</f>
        <v>20</v>
      </c>
      <c r="U109" s="16">
        <f>原始值!N109+VLOOKUP($H109,怪物强度修正!$A$2:$R$17,COLUMN(U109)-9,FALSE)</f>
        <v>1050</v>
      </c>
      <c r="V109" s="16">
        <v>2</v>
      </c>
      <c r="W109" s="16">
        <f>原始值!P109+VLOOKUP($H109,怪物强度修正!$A$2:$R$17,COLUMN(W109)-9,FALSE)</f>
        <v>15</v>
      </c>
      <c r="X109" s="16">
        <f>原始值!Q109+VLOOKUP($H109,怪物强度修正!$A$2:$R$17,COLUMN(X109)-9,FALSE)</f>
        <v>20</v>
      </c>
      <c r="Y109" s="16">
        <f>原始值!R109+VLOOKUP($H109,怪物强度修正!$A$2:$R$17,COLUMN(Y109)-9,FALSE)</f>
        <v>75</v>
      </c>
      <c r="Z109" s="16">
        <f>原始值!S109+VLOOKUP($H109,怪物强度修正!$A$2:$R$17,COLUMN(Z109)-9,FALSE)</f>
        <v>300</v>
      </c>
      <c r="AA109" s="16">
        <f>原始值!T109+VLOOKUP($H109,怪物强度修正!$A$2:$R$17,COLUMN(AA109)-9,FALSE)</f>
        <v>50</v>
      </c>
    </row>
    <row r="110" spans="1:27" s="16" customFormat="1">
      <c r="A110" s="16" t="str">
        <f t="shared" si="24"/>
        <v>PhyType.NewNpcType_243</v>
      </c>
      <c r="B110" s="16" t="s">
        <v>137</v>
      </c>
      <c r="C110" s="16">
        <v>243</v>
      </c>
      <c r="D110" s="16">
        <v>243</v>
      </c>
      <c r="G110" s="16" t="str">
        <f t="shared" si="20"/>
        <v>月魔蜘蛛微型</v>
      </c>
      <c r="H110" s="16" t="str">
        <f t="shared" si="21"/>
        <v>赤月峡谷</v>
      </c>
      <c r="I110" s="16">
        <f t="shared" si="22"/>
        <v>419</v>
      </c>
      <c r="K110" s="16">
        <f>原始值!D110+VLOOKUP($H110,怪物强度修正!$A$2:$R$17,COLUMN(K110)-9,FALSE)</f>
        <v>27</v>
      </c>
      <c r="L110" s="16">
        <f>原始值!E110+VLOOKUP($H110,怪物强度修正!$A$2:$R$17,COLUMN(L110)-9,FALSE)</f>
        <v>27</v>
      </c>
      <c r="M110" s="16">
        <f t="shared" si="25"/>
        <v>27</v>
      </c>
      <c r="N110" s="16">
        <f t="shared" si="26"/>
        <v>27</v>
      </c>
      <c r="O110" s="16">
        <f>原始值!H110+VLOOKUP($H110,怪物强度修正!$A$2:$R$17,COLUMN(O110)-9,FALSE)</f>
        <v>0</v>
      </c>
      <c r="P110" s="16">
        <f>原始值!I110+VLOOKUP($H110,怪物强度修正!$A$2:$R$17,COLUMN(P110)-9,FALSE)</f>
        <v>0</v>
      </c>
      <c r="Q110" s="16">
        <f>原始值!J110+VLOOKUP($H110,怪物强度修正!$A$2:$R$17,COLUMN(Q110)-9,FALSE)</f>
        <v>13</v>
      </c>
      <c r="R110" s="16">
        <f>原始值!K110+VLOOKUP($H110,怪物强度修正!$A$2:$R$17,COLUMN(R110)-9,FALSE)</f>
        <v>13</v>
      </c>
      <c r="S110" s="16">
        <f>原始值!L110+VLOOKUP($H110,怪物强度修正!$A$2:$R$17,COLUMN(S110)-9,FALSE)</f>
        <v>30</v>
      </c>
      <c r="T110" s="16">
        <f>原始值!M110+VLOOKUP($H110,怪物强度修正!$A$2:$R$17,COLUMN(T110)-9,FALSE)</f>
        <v>30</v>
      </c>
      <c r="U110" s="16">
        <f>原始值!N110+VLOOKUP($H110,怪物强度修正!$A$2:$R$17,COLUMN(U110)-9,FALSE)</f>
        <v>600</v>
      </c>
      <c r="V110" s="16">
        <v>3</v>
      </c>
      <c r="W110" s="16">
        <f>原始值!P110+VLOOKUP($H110,怪物强度修正!$A$2:$R$17,COLUMN(W110)-9,FALSE)</f>
        <v>50</v>
      </c>
      <c r="X110" s="16">
        <f>原始值!Q110+VLOOKUP($H110,怪物强度修正!$A$2:$R$17,COLUMN(X110)-9,FALSE)</f>
        <v>20</v>
      </c>
      <c r="Y110" s="16">
        <f>原始值!R110+VLOOKUP($H110,怪物强度修正!$A$2:$R$17,COLUMN(Y110)-9,FALSE)</f>
        <v>75</v>
      </c>
      <c r="Z110" s="16">
        <f>原始值!S110+VLOOKUP($H110,怪物强度修正!$A$2:$R$17,COLUMN(Z110)-9,FALSE)</f>
        <v>300</v>
      </c>
      <c r="AA110" s="16">
        <f>原始值!T110+VLOOKUP($H110,怪物强度修正!$A$2:$R$17,COLUMN(AA110)-9,FALSE)</f>
        <v>50</v>
      </c>
    </row>
    <row r="111" spans="1:27" s="16" customFormat="1">
      <c r="A111" s="16" t="str">
        <f t="shared" si="24"/>
        <v>PhyType.NewNpcType_244</v>
      </c>
      <c r="B111" s="16" t="s">
        <v>137</v>
      </c>
      <c r="C111" s="16">
        <v>244</v>
      </c>
      <c r="D111" s="16">
        <v>244</v>
      </c>
      <c r="G111" s="16" t="str">
        <f t="shared" si="20"/>
        <v>天狼蜘蛛微型</v>
      </c>
      <c r="H111" s="16" t="str">
        <f t="shared" si="21"/>
        <v>赤月峡谷</v>
      </c>
      <c r="I111" s="16">
        <f t="shared" si="22"/>
        <v>299</v>
      </c>
      <c r="K111" s="16">
        <f>原始值!D111+VLOOKUP($H111,怪物强度修正!$A$2:$R$17,COLUMN(K111)-9,FALSE)</f>
        <v>23</v>
      </c>
      <c r="L111" s="16">
        <f>原始值!E111+VLOOKUP($H111,怪物强度修正!$A$2:$R$17,COLUMN(L111)-9,FALSE)</f>
        <v>32</v>
      </c>
      <c r="M111" s="16">
        <f t="shared" si="25"/>
        <v>23</v>
      </c>
      <c r="N111" s="16">
        <f t="shared" si="26"/>
        <v>32</v>
      </c>
      <c r="O111" s="16">
        <f>原始值!H111+VLOOKUP($H111,怪物强度修正!$A$2:$R$17,COLUMN(O111)-9,FALSE)</f>
        <v>0</v>
      </c>
      <c r="P111" s="16">
        <f>原始值!I111+VLOOKUP($H111,怪物强度修正!$A$2:$R$17,COLUMN(P111)-9,FALSE)</f>
        <v>0</v>
      </c>
      <c r="Q111" s="16">
        <f>原始值!J111+VLOOKUP($H111,怪物强度修正!$A$2:$R$17,COLUMN(Q111)-9,FALSE)</f>
        <v>9</v>
      </c>
      <c r="R111" s="16">
        <f>原始值!K111+VLOOKUP($H111,怪物强度修正!$A$2:$R$17,COLUMN(R111)-9,FALSE)</f>
        <v>9</v>
      </c>
      <c r="S111" s="16">
        <f>原始值!L111+VLOOKUP($H111,怪物强度修正!$A$2:$R$17,COLUMN(S111)-9,FALSE)</f>
        <v>22</v>
      </c>
      <c r="T111" s="16">
        <f>原始值!M111+VLOOKUP($H111,怪物强度修正!$A$2:$R$17,COLUMN(T111)-9,FALSE)</f>
        <v>22</v>
      </c>
      <c r="U111" s="16">
        <f>原始值!N111+VLOOKUP($H111,怪物强度修正!$A$2:$R$17,COLUMN(U111)-9,FALSE)</f>
        <v>350</v>
      </c>
      <c r="V111" s="16">
        <v>4</v>
      </c>
      <c r="W111" s="16">
        <f>原始值!P111+VLOOKUP($H111,怪物强度修正!$A$2:$R$17,COLUMN(W111)-9,FALSE)</f>
        <v>15</v>
      </c>
      <c r="X111" s="16">
        <f>原始值!Q111+VLOOKUP($H111,怪物强度修正!$A$2:$R$17,COLUMN(X111)-9,FALSE)</f>
        <v>17</v>
      </c>
      <c r="Y111" s="16">
        <f>原始值!R111+VLOOKUP($H111,怪物强度修正!$A$2:$R$17,COLUMN(Y111)-9,FALSE)</f>
        <v>75</v>
      </c>
      <c r="Z111" s="16">
        <f>原始值!S111+VLOOKUP($H111,怪物强度修正!$A$2:$R$17,COLUMN(Z111)-9,FALSE)</f>
        <v>300</v>
      </c>
      <c r="AA111" s="16">
        <f>原始值!T111+VLOOKUP($H111,怪物强度修正!$A$2:$R$17,COLUMN(AA111)-9,FALSE)</f>
        <v>50</v>
      </c>
    </row>
    <row r="112" spans="1:27" s="16" customFormat="1">
      <c r="A112" s="16" t="str">
        <f t="shared" si="24"/>
        <v>PhyType.NewNpcType_245</v>
      </c>
      <c r="B112" s="16" t="s">
        <v>137</v>
      </c>
      <c r="C112" s="16">
        <v>245</v>
      </c>
      <c r="D112" s="16">
        <v>245</v>
      </c>
      <c r="G112" s="16" t="str">
        <f t="shared" si="20"/>
        <v>钢牙蜘蛛微型</v>
      </c>
      <c r="H112" s="16" t="str">
        <f t="shared" si="21"/>
        <v>赤月峡谷</v>
      </c>
      <c r="I112" s="16">
        <f t="shared" si="22"/>
        <v>419</v>
      </c>
      <c r="K112" s="16">
        <f>原始值!D112+VLOOKUP($H112,怪物强度修正!$A$2:$R$17,COLUMN(K112)-9,FALSE)</f>
        <v>33</v>
      </c>
      <c r="L112" s="16">
        <f>原始值!E112+VLOOKUP($H112,怪物强度修正!$A$2:$R$17,COLUMN(L112)-9,FALSE)</f>
        <v>45</v>
      </c>
      <c r="M112" s="16">
        <f t="shared" si="25"/>
        <v>33</v>
      </c>
      <c r="N112" s="16">
        <f t="shared" si="26"/>
        <v>45</v>
      </c>
      <c r="O112" s="16">
        <f>原始值!H112+VLOOKUP($H112,怪物强度修正!$A$2:$R$17,COLUMN(O112)-9,FALSE)</f>
        <v>0</v>
      </c>
      <c r="P112" s="16">
        <f>原始值!I112+VLOOKUP($H112,怪物强度修正!$A$2:$R$17,COLUMN(P112)-9,FALSE)</f>
        <v>0</v>
      </c>
      <c r="Q112" s="16">
        <f>原始值!J112+VLOOKUP($H112,怪物强度修正!$A$2:$R$17,COLUMN(Q112)-9,FALSE)</f>
        <v>14</v>
      </c>
      <c r="R112" s="16">
        <f>原始值!K112+VLOOKUP($H112,怪物强度修正!$A$2:$R$17,COLUMN(R112)-9,FALSE)</f>
        <v>14</v>
      </c>
      <c r="S112" s="16">
        <f>原始值!L112+VLOOKUP($H112,怪物强度修正!$A$2:$R$17,COLUMN(S112)-9,FALSE)</f>
        <v>35</v>
      </c>
      <c r="T112" s="16">
        <f>原始值!M112+VLOOKUP($H112,怪物强度修正!$A$2:$R$17,COLUMN(T112)-9,FALSE)</f>
        <v>35</v>
      </c>
      <c r="U112" s="16">
        <f>原始值!N112+VLOOKUP($H112,怪物强度修正!$A$2:$R$17,COLUMN(U112)-9,FALSE)</f>
        <v>560</v>
      </c>
      <c r="V112" s="16">
        <v>5</v>
      </c>
      <c r="W112" s="16">
        <f>原始值!P112+VLOOKUP($H112,怪物强度修正!$A$2:$R$17,COLUMN(W112)-9,FALSE)</f>
        <v>20</v>
      </c>
      <c r="X112" s="16">
        <f>原始值!Q112+VLOOKUP($H112,怪物强度修正!$A$2:$R$17,COLUMN(X112)-9,FALSE)</f>
        <v>17</v>
      </c>
      <c r="Y112" s="16">
        <f>原始值!R112+VLOOKUP($H112,怪物强度修正!$A$2:$R$17,COLUMN(Y112)-9,FALSE)</f>
        <v>75</v>
      </c>
      <c r="Z112" s="16">
        <f>原始值!S112+VLOOKUP($H112,怪物强度修正!$A$2:$R$17,COLUMN(Z112)-9,FALSE)</f>
        <v>300</v>
      </c>
      <c r="AA112" s="16">
        <f>原始值!T112+VLOOKUP($H112,怪物强度修正!$A$2:$R$17,COLUMN(AA112)-9,FALSE)</f>
        <v>50</v>
      </c>
    </row>
    <row r="113" spans="1:27" s="16" customFormat="1">
      <c r="A113" s="16" t="str">
        <f t="shared" si="24"/>
        <v>PhyType.NewNpcType_246</v>
      </c>
      <c r="B113" s="16" t="s">
        <v>137</v>
      </c>
      <c r="C113" s="16">
        <v>246</v>
      </c>
      <c r="D113" s="16">
        <v>246</v>
      </c>
      <c r="G113" s="16" t="str">
        <f t="shared" si="20"/>
        <v>花吻蜘蛛微型</v>
      </c>
      <c r="H113" s="16" t="str">
        <f t="shared" si="21"/>
        <v>赤月峡谷</v>
      </c>
      <c r="I113" s="16">
        <f t="shared" si="22"/>
        <v>407</v>
      </c>
      <c r="K113" s="16">
        <f>原始值!D113+VLOOKUP($H113,怪物强度修正!$A$2:$R$17,COLUMN(K113)-9,FALSE)</f>
        <v>21</v>
      </c>
      <c r="L113" s="16">
        <f>原始值!E113+VLOOKUP($H113,怪物强度修正!$A$2:$R$17,COLUMN(L113)-9,FALSE)</f>
        <v>53</v>
      </c>
      <c r="M113" s="16">
        <f t="shared" si="25"/>
        <v>21</v>
      </c>
      <c r="N113" s="16">
        <f t="shared" si="26"/>
        <v>53</v>
      </c>
      <c r="O113" s="16">
        <f>原始值!H113+VLOOKUP($H113,怪物强度修正!$A$2:$R$17,COLUMN(O113)-9,FALSE)</f>
        <v>0</v>
      </c>
      <c r="P113" s="16">
        <f>原始值!I113+VLOOKUP($H113,怪物强度修正!$A$2:$R$17,COLUMN(P113)-9,FALSE)</f>
        <v>0</v>
      </c>
      <c r="Q113" s="16">
        <f>原始值!J113+VLOOKUP($H113,怪物强度修正!$A$2:$R$17,COLUMN(Q113)-9,FALSE)</f>
        <v>13</v>
      </c>
      <c r="R113" s="16">
        <f>原始值!K113+VLOOKUP($H113,怪物强度修正!$A$2:$R$17,COLUMN(R113)-9,FALSE)</f>
        <v>13</v>
      </c>
      <c r="S113" s="16">
        <f>原始值!L113+VLOOKUP($H113,怪物强度修正!$A$2:$R$17,COLUMN(S113)-9,FALSE)</f>
        <v>29</v>
      </c>
      <c r="T113" s="16">
        <f>原始值!M113+VLOOKUP($H113,怪物强度修正!$A$2:$R$17,COLUMN(T113)-9,FALSE)</f>
        <v>29</v>
      </c>
      <c r="U113" s="16">
        <f>原始值!N113+VLOOKUP($H113,怪物强度修正!$A$2:$R$17,COLUMN(U113)-9,FALSE)</f>
        <v>530</v>
      </c>
      <c r="V113" s="16">
        <v>6</v>
      </c>
      <c r="W113" s="16">
        <f>原始值!P113+VLOOKUP($H113,怪物强度修正!$A$2:$R$17,COLUMN(W113)-9,FALSE)</f>
        <v>17</v>
      </c>
      <c r="X113" s="16">
        <f>原始值!Q113+VLOOKUP($H113,怪物强度修正!$A$2:$R$17,COLUMN(X113)-9,FALSE)</f>
        <v>25</v>
      </c>
      <c r="Y113" s="16">
        <f>原始值!R113+VLOOKUP($H113,怪物强度修正!$A$2:$R$17,COLUMN(Y113)-9,FALSE)</f>
        <v>75</v>
      </c>
      <c r="Z113" s="16">
        <f>原始值!S113+VLOOKUP($H113,怪物强度修正!$A$2:$R$17,COLUMN(Z113)-9,FALSE)</f>
        <v>300</v>
      </c>
      <c r="AA113" s="16">
        <f>原始值!T113+VLOOKUP($H113,怪物强度修正!$A$2:$R$17,COLUMN(AA113)-9,FALSE)</f>
        <v>50</v>
      </c>
    </row>
    <row r="114" spans="1:27" s="16" customFormat="1">
      <c r="A114" s="16" t="str">
        <f t="shared" si="24"/>
        <v>PhyType.NewNpcType_247</v>
      </c>
      <c r="B114" s="16" t="s">
        <v>137</v>
      </c>
      <c r="C114" s="16">
        <v>247</v>
      </c>
      <c r="D114" s="16">
        <v>247</v>
      </c>
      <c r="G114" s="16" t="str">
        <f t="shared" si="20"/>
        <v>黑锷蜘蛛微型</v>
      </c>
      <c r="H114" s="16" t="str">
        <f t="shared" si="21"/>
        <v>赤月峡谷</v>
      </c>
      <c r="I114" s="16">
        <f t="shared" si="22"/>
        <v>539</v>
      </c>
      <c r="K114" s="16">
        <f>原始值!D114+VLOOKUP($H114,怪物强度修正!$A$2:$R$17,COLUMN(K114)-9,FALSE)</f>
        <v>17</v>
      </c>
      <c r="L114" s="16">
        <f>原始值!E114+VLOOKUP($H114,怪物强度修正!$A$2:$R$17,COLUMN(L114)-9,FALSE)</f>
        <v>65</v>
      </c>
      <c r="M114" s="16">
        <f t="shared" si="25"/>
        <v>17</v>
      </c>
      <c r="N114" s="16">
        <f t="shared" si="26"/>
        <v>65</v>
      </c>
      <c r="O114" s="16">
        <f>原始值!H114+VLOOKUP($H114,怪物强度修正!$A$2:$R$17,COLUMN(O114)-9,FALSE)</f>
        <v>0</v>
      </c>
      <c r="P114" s="16">
        <f>原始值!I114+VLOOKUP($H114,怪物强度修正!$A$2:$R$17,COLUMN(P114)-9,FALSE)</f>
        <v>0</v>
      </c>
      <c r="Q114" s="16">
        <f>原始值!J114+VLOOKUP($H114,怪物强度修正!$A$2:$R$17,COLUMN(Q114)-9,FALSE)</f>
        <v>12</v>
      </c>
      <c r="R114" s="16">
        <f>原始值!K114+VLOOKUP($H114,怪物强度修正!$A$2:$R$17,COLUMN(R114)-9,FALSE)</f>
        <v>12</v>
      </c>
      <c r="S114" s="16">
        <f>原始值!L114+VLOOKUP($H114,怪物强度修正!$A$2:$R$17,COLUMN(S114)-9,FALSE)</f>
        <v>32</v>
      </c>
      <c r="T114" s="16">
        <f>原始值!M114+VLOOKUP($H114,怪物强度修正!$A$2:$R$17,COLUMN(T114)-9,FALSE)</f>
        <v>32</v>
      </c>
      <c r="U114" s="16">
        <f>原始值!N114+VLOOKUP($H114,怪物强度修正!$A$2:$R$17,COLUMN(U114)-9,FALSE)</f>
        <v>840</v>
      </c>
      <c r="V114" s="16">
        <v>7</v>
      </c>
      <c r="W114" s="16">
        <f>原始值!P114+VLOOKUP($H114,怪物强度修正!$A$2:$R$17,COLUMN(W114)-9,FALSE)</f>
        <v>17</v>
      </c>
      <c r="X114" s="16">
        <f>原始值!Q114+VLOOKUP($H114,怪物强度修正!$A$2:$R$17,COLUMN(X114)-9,FALSE)</f>
        <v>17</v>
      </c>
      <c r="Y114" s="16">
        <f>原始值!R114+VLOOKUP($H114,怪物强度修正!$A$2:$R$17,COLUMN(Y114)-9,FALSE)</f>
        <v>75</v>
      </c>
      <c r="Z114" s="16">
        <f>原始值!S114+VLOOKUP($H114,怪物强度修正!$A$2:$R$17,COLUMN(Z114)-9,FALSE)</f>
        <v>300</v>
      </c>
      <c r="AA114" s="16">
        <f>原始值!T114+VLOOKUP($H114,怪物强度修正!$A$2:$R$17,COLUMN(AA114)-9,FALSE)</f>
        <v>50</v>
      </c>
    </row>
    <row r="115" spans="1:27" s="16" customFormat="1">
      <c r="A115" s="16" t="str">
        <f t="shared" si="24"/>
        <v>PhyType.NewNpcType_248</v>
      </c>
      <c r="B115" s="16" t="s">
        <v>137</v>
      </c>
      <c r="C115" s="16">
        <v>248</v>
      </c>
      <c r="D115" s="16">
        <v>248</v>
      </c>
      <c r="G115" s="16" t="str">
        <f t="shared" si="20"/>
        <v>幻影蜘蛛微型</v>
      </c>
      <c r="H115" s="16" t="str">
        <f t="shared" si="21"/>
        <v>赤月峡谷</v>
      </c>
      <c r="I115" s="16">
        <f t="shared" si="22"/>
        <v>539</v>
      </c>
      <c r="K115" s="16">
        <f>原始值!D115+VLOOKUP($H115,怪物强度修正!$A$2:$R$17,COLUMN(K115)-9,FALSE)</f>
        <v>5</v>
      </c>
      <c r="L115" s="16">
        <f>原始值!E115+VLOOKUP($H115,怪物强度修正!$A$2:$R$17,COLUMN(L115)-9,FALSE)</f>
        <v>5</v>
      </c>
      <c r="M115" s="16">
        <f t="shared" si="25"/>
        <v>5</v>
      </c>
      <c r="N115" s="16">
        <f t="shared" si="26"/>
        <v>5</v>
      </c>
      <c r="O115" s="16">
        <f>原始值!H115+VLOOKUP($H115,怪物强度修正!$A$2:$R$17,COLUMN(O115)-9,FALSE)</f>
        <v>0</v>
      </c>
      <c r="P115" s="16">
        <f>原始值!I115+VLOOKUP($H115,怪物强度修正!$A$2:$R$17,COLUMN(P115)-9,FALSE)</f>
        <v>0</v>
      </c>
      <c r="Q115" s="16">
        <f>原始值!J115+VLOOKUP($H115,怪物强度修正!$A$2:$R$17,COLUMN(Q115)-9,FALSE)</f>
        <v>11</v>
      </c>
      <c r="R115" s="16">
        <f>原始值!K115+VLOOKUP($H115,怪物强度修正!$A$2:$R$17,COLUMN(R115)-9,FALSE)</f>
        <v>11</v>
      </c>
      <c r="S115" s="16">
        <f>原始值!L115+VLOOKUP($H115,怪物强度修正!$A$2:$R$17,COLUMN(S115)-9,FALSE)</f>
        <v>25</v>
      </c>
      <c r="T115" s="16">
        <f>原始值!M115+VLOOKUP($H115,怪物强度修正!$A$2:$R$17,COLUMN(T115)-9,FALSE)</f>
        <v>25</v>
      </c>
      <c r="U115" s="16">
        <f>原始值!N115+VLOOKUP($H115,怪物强度修正!$A$2:$R$17,COLUMN(U115)-9,FALSE)</f>
        <v>840</v>
      </c>
      <c r="V115" s="16">
        <v>8</v>
      </c>
      <c r="W115" s="16">
        <f>原始值!P115+VLOOKUP($H115,怪物强度修正!$A$2:$R$17,COLUMN(W115)-9,FALSE)</f>
        <v>1</v>
      </c>
      <c r="X115" s="16">
        <f>原始值!Q115+VLOOKUP($H115,怪物强度修正!$A$2:$R$17,COLUMN(X115)-9,FALSE)</f>
        <v>1</v>
      </c>
      <c r="Y115" s="16">
        <f>原始值!R115+VLOOKUP($H115,怪物强度修正!$A$2:$R$17,COLUMN(Y115)-9,FALSE)</f>
        <v>75</v>
      </c>
      <c r="Z115" s="16">
        <f>原始值!S115+VLOOKUP($H115,怪物强度修正!$A$2:$R$17,COLUMN(Z115)-9,FALSE)</f>
        <v>300</v>
      </c>
      <c r="AA115" s="16">
        <f>原始值!T115+VLOOKUP($H115,怪物强度修正!$A$2:$R$17,COLUMN(AA115)-9,FALSE)</f>
        <v>50</v>
      </c>
    </row>
    <row r="116" spans="1:27" s="16" customFormat="1">
      <c r="A116" s="16" t="str">
        <f t="shared" si="24"/>
        <v>PhyType.NewNpcType_249</v>
      </c>
      <c r="B116" s="16" t="s">
        <v>137</v>
      </c>
      <c r="C116" s="16">
        <v>249</v>
      </c>
      <c r="D116" s="16">
        <v>249</v>
      </c>
      <c r="G116" s="16" t="str">
        <f t="shared" si="20"/>
        <v>爆裂蜘蛛微型</v>
      </c>
      <c r="H116" s="16" t="str">
        <f t="shared" si="21"/>
        <v>赤月峡谷</v>
      </c>
      <c r="I116" s="16">
        <f t="shared" si="22"/>
        <v>3</v>
      </c>
      <c r="K116" s="16">
        <f>原始值!D116+VLOOKUP($H116,怪物强度修正!$A$2:$R$17,COLUMN(K116)-9,FALSE)</f>
        <v>21</v>
      </c>
      <c r="L116" s="16">
        <f>原始值!E116+VLOOKUP($H116,怪物强度修正!$A$2:$R$17,COLUMN(L116)-9,FALSE)</f>
        <v>21</v>
      </c>
      <c r="M116" s="16">
        <f t="shared" si="25"/>
        <v>21</v>
      </c>
      <c r="N116" s="16">
        <f t="shared" si="26"/>
        <v>21</v>
      </c>
      <c r="O116" s="16">
        <f>原始值!H116+VLOOKUP($H116,怪物强度修正!$A$2:$R$17,COLUMN(O116)-9,FALSE)</f>
        <v>0</v>
      </c>
      <c r="P116" s="16">
        <f>原始值!I116+VLOOKUP($H116,怪物强度修正!$A$2:$R$17,COLUMN(P116)-9,FALSE)</f>
        <v>0</v>
      </c>
      <c r="Q116" s="16">
        <f>原始值!J116+VLOOKUP($H116,怪物强度修正!$A$2:$R$17,COLUMN(Q116)-9,FALSE)</f>
        <v>1</v>
      </c>
      <c r="R116" s="16">
        <f>原始值!K116+VLOOKUP($H116,怪物强度修正!$A$2:$R$17,COLUMN(R116)-9,FALSE)</f>
        <v>1</v>
      </c>
      <c r="S116" s="16">
        <f>原始值!L116+VLOOKUP($H116,怪物强度修正!$A$2:$R$17,COLUMN(S116)-9,FALSE)</f>
        <v>2</v>
      </c>
      <c r="T116" s="16">
        <f>原始值!M116+VLOOKUP($H116,怪物强度修正!$A$2:$R$17,COLUMN(T116)-9,FALSE)</f>
        <v>2</v>
      </c>
      <c r="U116" s="16">
        <f>原始值!N116+VLOOKUP($H116,怪物强度修正!$A$2:$R$17,COLUMN(U116)-9,FALSE)</f>
        <v>7</v>
      </c>
      <c r="V116" s="16">
        <v>9</v>
      </c>
      <c r="W116" s="16">
        <f>原始值!P116+VLOOKUP($H116,怪物强度修正!$A$2:$R$17,COLUMN(W116)-9,FALSE)</f>
        <v>30</v>
      </c>
      <c r="X116" s="16">
        <f>原始值!Q116+VLOOKUP($H116,怪物强度修正!$A$2:$R$17,COLUMN(X116)-9,FALSE)</f>
        <v>30</v>
      </c>
      <c r="Y116" s="16">
        <f>原始值!R116+VLOOKUP($H116,怪物强度修正!$A$2:$R$17,COLUMN(Y116)-9,FALSE)</f>
        <v>75</v>
      </c>
      <c r="Z116" s="16">
        <f>原始值!S116+VLOOKUP($H116,怪物强度修正!$A$2:$R$17,COLUMN(Z116)-9,FALSE)</f>
        <v>300</v>
      </c>
      <c r="AA116" s="16">
        <f>原始值!T116+VLOOKUP($H116,怪物强度修正!$A$2:$R$17,COLUMN(AA116)-9,FALSE)</f>
        <v>50</v>
      </c>
    </row>
    <row r="117" spans="1:27" s="16" customFormat="1">
      <c r="A117" s="16" t="str">
        <f t="shared" si="24"/>
        <v>PhyType.NewNpcType_250</v>
      </c>
      <c r="B117" s="16" t="s">
        <v>137</v>
      </c>
      <c r="C117" s="16">
        <v>250</v>
      </c>
      <c r="D117" s="16">
        <v>250</v>
      </c>
      <c r="G117" s="16" t="str">
        <f t="shared" si="20"/>
        <v>血巨人微型</v>
      </c>
      <c r="H117" s="16" t="str">
        <f t="shared" si="21"/>
        <v>赤月峡谷</v>
      </c>
      <c r="I117" s="16">
        <f t="shared" si="22"/>
        <v>599</v>
      </c>
      <c r="K117" s="16">
        <f>原始值!D117+VLOOKUP($H117,怪物强度修正!$A$2:$R$17,COLUMN(K117)-9,FALSE)</f>
        <v>33</v>
      </c>
      <c r="L117" s="16">
        <f>原始值!E117+VLOOKUP($H117,怪物强度修正!$A$2:$R$17,COLUMN(L117)-9,FALSE)</f>
        <v>61</v>
      </c>
      <c r="M117" s="16">
        <f t="shared" si="25"/>
        <v>33</v>
      </c>
      <c r="N117" s="16">
        <f t="shared" si="26"/>
        <v>61</v>
      </c>
      <c r="O117" s="16">
        <f>原始值!H117+VLOOKUP($H117,怪物强度修正!$A$2:$R$17,COLUMN(O117)-9,FALSE)</f>
        <v>0</v>
      </c>
      <c r="P117" s="16">
        <f>原始值!I117+VLOOKUP($H117,怪物强度修正!$A$2:$R$17,COLUMN(P117)-9,FALSE)</f>
        <v>0</v>
      </c>
      <c r="Q117" s="16">
        <f>原始值!J117+VLOOKUP($H117,怪物强度修正!$A$2:$R$17,COLUMN(Q117)-9,FALSE)</f>
        <v>16</v>
      </c>
      <c r="R117" s="16">
        <f>原始值!K117+VLOOKUP($H117,怪物强度修正!$A$2:$R$17,COLUMN(R117)-9,FALSE)</f>
        <v>16</v>
      </c>
      <c r="S117" s="16">
        <f>原始值!L117+VLOOKUP($H117,怪物强度修正!$A$2:$R$17,COLUMN(S117)-9,FALSE)</f>
        <v>32</v>
      </c>
      <c r="T117" s="16">
        <f>原始值!M117+VLOOKUP($H117,怪物强度修正!$A$2:$R$17,COLUMN(T117)-9,FALSE)</f>
        <v>32</v>
      </c>
      <c r="U117" s="16">
        <f>原始值!N117+VLOOKUP($H117,怪物强度修正!$A$2:$R$17,COLUMN(U117)-9,FALSE)</f>
        <v>840</v>
      </c>
      <c r="V117" s="16">
        <v>10</v>
      </c>
      <c r="W117" s="16">
        <f>原始值!P117+VLOOKUP($H117,怪物强度修正!$A$2:$R$17,COLUMN(W117)-9,FALSE)</f>
        <v>17</v>
      </c>
      <c r="X117" s="16">
        <f>原始值!Q117+VLOOKUP($H117,怪物强度修正!$A$2:$R$17,COLUMN(X117)-9,FALSE)</f>
        <v>20</v>
      </c>
      <c r="Y117" s="16">
        <f>原始值!R117+VLOOKUP($H117,怪物强度修正!$A$2:$R$17,COLUMN(Y117)-9,FALSE)</f>
        <v>75</v>
      </c>
      <c r="Z117" s="16">
        <f>原始值!S117+VLOOKUP($H117,怪物强度修正!$A$2:$R$17,COLUMN(Z117)-9,FALSE)</f>
        <v>300</v>
      </c>
      <c r="AA117" s="16">
        <f>原始值!T117+VLOOKUP($H117,怪物强度修正!$A$2:$R$17,COLUMN(AA117)-9,FALSE)</f>
        <v>50</v>
      </c>
    </row>
    <row r="118" spans="1:27" s="16" customFormat="1">
      <c r="A118" s="16" t="str">
        <f t="shared" si="24"/>
        <v>PhyType.NewNpcType_251</v>
      </c>
      <c r="B118" s="16" t="s">
        <v>137</v>
      </c>
      <c r="C118" s="16">
        <v>251</v>
      </c>
      <c r="D118" s="16">
        <v>251</v>
      </c>
      <c r="G118" s="16" t="str">
        <f t="shared" si="20"/>
        <v>血僵尸微型</v>
      </c>
      <c r="H118" s="16" t="str">
        <f t="shared" si="21"/>
        <v>赤月峡谷</v>
      </c>
      <c r="I118" s="16">
        <f t="shared" si="22"/>
        <v>479</v>
      </c>
      <c r="K118" s="16">
        <f>原始值!D118+VLOOKUP($H118,怪物强度修正!$A$2:$R$17,COLUMN(K118)-9,FALSE)</f>
        <v>33</v>
      </c>
      <c r="L118" s="16">
        <f>原始值!E118+VLOOKUP($H118,怪物强度修正!$A$2:$R$17,COLUMN(L118)-9,FALSE)</f>
        <v>45</v>
      </c>
      <c r="M118" s="16">
        <f t="shared" si="25"/>
        <v>33</v>
      </c>
      <c r="N118" s="16">
        <f t="shared" si="26"/>
        <v>45</v>
      </c>
      <c r="O118" s="16">
        <f>原始值!H118+VLOOKUP($H118,怪物强度修正!$A$2:$R$17,COLUMN(O118)-9,FALSE)</f>
        <v>0</v>
      </c>
      <c r="P118" s="16">
        <f>原始值!I118+VLOOKUP($H118,怪物强度修正!$A$2:$R$17,COLUMN(P118)-9,FALSE)</f>
        <v>0</v>
      </c>
      <c r="Q118" s="16">
        <f>原始值!J118+VLOOKUP($H118,怪物强度修正!$A$2:$R$17,COLUMN(Q118)-9,FALSE)</f>
        <v>19</v>
      </c>
      <c r="R118" s="16">
        <f>原始值!K118+VLOOKUP($H118,怪物强度修正!$A$2:$R$17,COLUMN(R118)-9,FALSE)</f>
        <v>19</v>
      </c>
      <c r="S118" s="16">
        <f>原始值!L118+VLOOKUP($H118,怪物强度修正!$A$2:$R$17,COLUMN(S118)-9,FALSE)</f>
        <v>32</v>
      </c>
      <c r="T118" s="16">
        <f>原始值!M118+VLOOKUP($H118,怪物强度修正!$A$2:$R$17,COLUMN(T118)-9,FALSE)</f>
        <v>32</v>
      </c>
      <c r="U118" s="16">
        <f>原始值!N118+VLOOKUP($H118,怪物强度修正!$A$2:$R$17,COLUMN(U118)-9,FALSE)</f>
        <v>840</v>
      </c>
      <c r="V118" s="16">
        <v>11</v>
      </c>
      <c r="W118" s="16">
        <f>原始值!P118+VLOOKUP($H118,怪物强度修正!$A$2:$R$17,COLUMN(W118)-9,FALSE)</f>
        <v>25</v>
      </c>
      <c r="X118" s="16">
        <f>原始值!Q118+VLOOKUP($H118,怪物强度修正!$A$2:$R$17,COLUMN(X118)-9,FALSE)</f>
        <v>10</v>
      </c>
      <c r="Y118" s="16">
        <f>原始值!R118+VLOOKUP($H118,怪物强度修正!$A$2:$R$17,COLUMN(Y118)-9,FALSE)</f>
        <v>75</v>
      </c>
      <c r="Z118" s="16">
        <f>原始值!S118+VLOOKUP($H118,怪物强度修正!$A$2:$R$17,COLUMN(Z118)-9,FALSE)</f>
        <v>300</v>
      </c>
      <c r="AA118" s="16">
        <f>原始值!T118+VLOOKUP($H118,怪物强度修正!$A$2:$R$17,COLUMN(AA118)-9,FALSE)</f>
        <v>50</v>
      </c>
    </row>
    <row r="119" spans="1:27" s="16" customFormat="1">
      <c r="A119" s="16" t="str">
        <f t="shared" ref="A119" si="27">"PhyType.NewNpcType_"&amp;D119</f>
        <v>PhyType.NewNpcType_252</v>
      </c>
      <c r="B119" s="16" t="s">
        <v>137</v>
      </c>
      <c r="C119" s="16">
        <v>252</v>
      </c>
      <c r="D119" s="16">
        <v>252</v>
      </c>
      <c r="G119" s="16" t="str">
        <f t="shared" si="20"/>
        <v>暴牙蜘蛛微型</v>
      </c>
      <c r="H119" s="16" t="str">
        <f t="shared" si="21"/>
        <v>赤月峡谷</v>
      </c>
      <c r="I119" s="16">
        <f t="shared" si="22"/>
        <v>239</v>
      </c>
      <c r="K119" s="16">
        <f>原始值!D119+VLOOKUP($H119,怪物强度修正!$A$2:$R$17,COLUMN(K119)-9,FALSE)</f>
        <v>23</v>
      </c>
      <c r="L119" s="16">
        <f>原始值!E119+VLOOKUP($H119,怪物强度修正!$A$2:$R$17,COLUMN(L119)-9,FALSE)</f>
        <v>32</v>
      </c>
      <c r="M119" s="16">
        <f t="shared" ref="M119" si="28">K119</f>
        <v>23</v>
      </c>
      <c r="N119" s="16">
        <f t="shared" ref="N119" si="29">L119</f>
        <v>32</v>
      </c>
      <c r="O119" s="16">
        <f>原始值!H119+VLOOKUP($H119,怪物强度修正!$A$2:$R$17,COLUMN(O119)-9,FALSE)</f>
        <v>0</v>
      </c>
      <c r="P119" s="16">
        <f>原始值!I119+VLOOKUP($H119,怪物强度修正!$A$2:$R$17,COLUMN(P119)-9,FALSE)</f>
        <v>0</v>
      </c>
      <c r="Q119" s="16">
        <f>原始值!J119+VLOOKUP($H119,怪物强度修正!$A$2:$R$17,COLUMN(Q119)-9,FALSE)</f>
        <v>13</v>
      </c>
      <c r="R119" s="16">
        <f>原始值!K119+VLOOKUP($H119,怪物强度修正!$A$2:$R$17,COLUMN(R119)-9,FALSE)</f>
        <v>13</v>
      </c>
      <c r="S119" s="16">
        <f>原始值!L119+VLOOKUP($H119,怪物强度修正!$A$2:$R$17,COLUMN(S119)-9,FALSE)</f>
        <v>32</v>
      </c>
      <c r="T119" s="16">
        <f>原始值!M119+VLOOKUP($H119,怪物强度修正!$A$2:$R$17,COLUMN(T119)-9,FALSE)</f>
        <v>32</v>
      </c>
      <c r="U119" s="16">
        <f>原始值!N119+VLOOKUP($H119,怪物强度修正!$A$2:$R$17,COLUMN(U119)-9,FALSE)</f>
        <v>350</v>
      </c>
      <c r="V119" s="16">
        <v>12</v>
      </c>
      <c r="W119" s="16">
        <f>原始值!P119+VLOOKUP($H119,怪物强度修正!$A$2:$R$17,COLUMN(W119)-9,FALSE)</f>
        <v>17</v>
      </c>
      <c r="X119" s="16">
        <f>原始值!Q119+VLOOKUP($H119,怪物强度修正!$A$2:$R$17,COLUMN(X119)-9,FALSE)</f>
        <v>17</v>
      </c>
      <c r="Y119" s="16">
        <f>原始值!R119+VLOOKUP($H119,怪物强度修正!$A$2:$R$17,COLUMN(Y119)-9,FALSE)</f>
        <v>75</v>
      </c>
      <c r="Z119" s="16">
        <f>原始值!S119+VLOOKUP($H119,怪物强度修正!$A$2:$R$17,COLUMN(Z119)-9,FALSE)</f>
        <v>300</v>
      </c>
      <c r="AA119" s="16">
        <f>原始值!T119+VLOOKUP($H119,怪物强度修正!$A$2:$R$17,COLUMN(AA119)-9,FALSE)</f>
        <v>50</v>
      </c>
    </row>
    <row r="120" spans="1:27" s="7" customFormat="1">
      <c r="A120" s="7" t="str">
        <f t="shared" si="0"/>
        <v>PhyType.NewNpcType_301</v>
      </c>
      <c r="B120" s="7" t="s">
        <v>137</v>
      </c>
      <c r="C120" s="7">
        <v>301</v>
      </c>
      <c r="D120" s="6">
        <v>301</v>
      </c>
      <c r="E120" s="6"/>
      <c r="F120" s="6"/>
      <c r="G120" s="6" t="str">
        <f t="shared" ref="G120:G151" si="30">G8&amp;"头目"</f>
        <v>稻草人头目</v>
      </c>
      <c r="H120" s="6" t="str">
        <f t="shared" ref="H120:H151" si="31">H8</f>
        <v>边界村</v>
      </c>
      <c r="I120" s="6">
        <f t="shared" ref="I120:I151" si="32">INT((I8+1)*1.7-1)</f>
        <v>16</v>
      </c>
      <c r="J120" s="6"/>
      <c r="K120" s="7">
        <f>原始值!D120+VLOOKUP($H120,怪物强度修正!$A$2:$R$17,COLUMN(K120)-9,FALSE)</f>
        <v>1</v>
      </c>
      <c r="L120" s="7">
        <f>原始值!E120+VLOOKUP($H120,怪物强度修正!$A$2:$R$17,COLUMN(L120)-9,FALSE)</f>
        <v>2</v>
      </c>
      <c r="M120" s="7">
        <f t="shared" si="17"/>
        <v>1</v>
      </c>
      <c r="N120" s="7">
        <f t="shared" si="18"/>
        <v>2</v>
      </c>
      <c r="O120" s="7">
        <f>原始值!H120+VLOOKUP($H120,怪物强度修正!$A$2:$R$17,COLUMN(O120)-9,FALSE)</f>
        <v>0</v>
      </c>
      <c r="P120" s="7">
        <f>原始值!I120+VLOOKUP($H120,怪物强度修正!$A$2:$R$17,COLUMN(P120)-9,FALSE)</f>
        <v>0</v>
      </c>
      <c r="Q120" s="7">
        <f>原始值!J120+VLOOKUP($H120,怪物强度修正!$A$2:$R$17,COLUMN(Q120)-9,FALSE)</f>
        <v>0</v>
      </c>
      <c r="R120" s="7">
        <f>原始值!K120+VLOOKUP($H120,怪物强度修正!$A$2:$R$17,COLUMN(R120)-9,FALSE)</f>
        <v>0</v>
      </c>
      <c r="S120" s="7">
        <f>原始值!L120+VLOOKUP($H120,怪物强度修正!$A$2:$R$17,COLUMN(S120)-9,FALSE)</f>
        <v>0</v>
      </c>
      <c r="T120" s="7">
        <f>原始值!M120+VLOOKUP($H120,怪物强度修正!$A$2:$R$17,COLUMN(T120)-9,FALSE)</f>
        <v>0</v>
      </c>
      <c r="U120" s="7">
        <f>原始值!N120+VLOOKUP($H120,怪物强度修正!$A$2:$R$17,COLUMN(U120)-9,FALSE)</f>
        <v>24</v>
      </c>
      <c r="V120" s="7">
        <v>1</v>
      </c>
      <c r="W120" s="7">
        <f>原始值!P120+VLOOKUP($H120,怪物强度修正!$A$2:$R$17,COLUMN(W120)-9,FALSE)</f>
        <v>5</v>
      </c>
      <c r="X120" s="7">
        <f>原始值!Q120+VLOOKUP($H120,怪物强度修正!$A$2:$R$17,COLUMN(X120)-9,FALSE)</f>
        <v>7</v>
      </c>
      <c r="Y120" s="7">
        <f>原始值!R120+VLOOKUP($H120,怪物强度修正!$A$2:$R$17,COLUMN(Y120)-9,FALSE)</f>
        <v>75</v>
      </c>
      <c r="Z120" s="7">
        <f>原始值!S120+VLOOKUP($H120,怪物强度修正!$A$2:$R$17,COLUMN(Z120)-9,FALSE)</f>
        <v>300</v>
      </c>
      <c r="AA120" s="7">
        <f>原始值!T120+VLOOKUP($H120,怪物强度修正!$A$2:$R$17,COLUMN(AA120)-9,FALSE)</f>
        <v>50</v>
      </c>
    </row>
    <row r="121" spans="1:27" s="7" customFormat="1">
      <c r="A121" s="7" t="str">
        <f t="shared" si="0"/>
        <v>PhyType.NewNpcType_302</v>
      </c>
      <c r="B121" s="7" t="s">
        <v>137</v>
      </c>
      <c r="C121" s="7">
        <v>302</v>
      </c>
      <c r="D121" s="6">
        <v>302</v>
      </c>
      <c r="E121" s="6"/>
      <c r="F121" s="6"/>
      <c r="G121" s="6" t="str">
        <f t="shared" si="30"/>
        <v>钉耙猫头目</v>
      </c>
      <c r="H121" s="6" t="str">
        <f t="shared" si="31"/>
        <v>边界村</v>
      </c>
      <c r="I121" s="6">
        <f t="shared" si="32"/>
        <v>29</v>
      </c>
      <c r="J121" s="6"/>
      <c r="K121" s="7">
        <f>原始值!D121+VLOOKUP($H121,怪物强度修正!$A$2:$R$17,COLUMN(K121)-9,FALSE)</f>
        <v>2</v>
      </c>
      <c r="L121" s="7">
        <f>原始值!E121+VLOOKUP($H121,怪物强度修正!$A$2:$R$17,COLUMN(L121)-9,FALSE)</f>
        <v>5</v>
      </c>
      <c r="M121" s="7">
        <f t="shared" si="17"/>
        <v>2</v>
      </c>
      <c r="N121" s="7">
        <f t="shared" si="18"/>
        <v>5</v>
      </c>
      <c r="O121" s="7">
        <f>原始值!H121+VLOOKUP($H121,怪物强度修正!$A$2:$R$17,COLUMN(O121)-9,FALSE)</f>
        <v>0</v>
      </c>
      <c r="P121" s="7">
        <f>原始值!I121+VLOOKUP($H121,怪物强度修正!$A$2:$R$17,COLUMN(P121)-9,FALSE)</f>
        <v>0</v>
      </c>
      <c r="Q121" s="7">
        <f>原始值!J121+VLOOKUP($H121,怪物强度修正!$A$2:$R$17,COLUMN(Q121)-9,FALSE)</f>
        <v>0</v>
      </c>
      <c r="R121" s="7">
        <f>原始值!K121+VLOOKUP($H121,怪物强度修正!$A$2:$R$17,COLUMN(R121)-9,FALSE)</f>
        <v>0</v>
      </c>
      <c r="S121" s="7">
        <f>原始值!L121+VLOOKUP($H121,怪物强度修正!$A$2:$R$17,COLUMN(S121)-9,FALSE)</f>
        <v>0</v>
      </c>
      <c r="T121" s="7">
        <f>原始值!M121+VLOOKUP($H121,怪物强度修正!$A$2:$R$17,COLUMN(T121)-9,FALSE)</f>
        <v>0</v>
      </c>
      <c r="U121" s="7">
        <f>原始值!N121+VLOOKUP($H121,怪物强度修正!$A$2:$R$17,COLUMN(U121)-9,FALSE)</f>
        <v>37</v>
      </c>
      <c r="V121" s="7">
        <v>1</v>
      </c>
      <c r="W121" s="7">
        <f>原始值!P121+VLOOKUP($H121,怪物强度修正!$A$2:$R$17,COLUMN(W121)-9,FALSE)</f>
        <v>5</v>
      </c>
      <c r="X121" s="7">
        <f>原始值!Q121+VLOOKUP($H121,怪物强度修正!$A$2:$R$17,COLUMN(X121)-9,FALSE)</f>
        <v>7</v>
      </c>
      <c r="Y121" s="7">
        <f>原始值!R121+VLOOKUP($H121,怪物强度修正!$A$2:$R$17,COLUMN(Y121)-9,FALSE)</f>
        <v>75</v>
      </c>
      <c r="Z121" s="7">
        <f>原始值!S121+VLOOKUP($H121,怪物强度修正!$A$2:$R$17,COLUMN(Z121)-9,FALSE)</f>
        <v>300</v>
      </c>
      <c r="AA121" s="7">
        <f>原始值!T121+VLOOKUP($H121,怪物强度修正!$A$2:$R$17,COLUMN(AA121)-9,FALSE)</f>
        <v>50</v>
      </c>
    </row>
    <row r="122" spans="1:27" s="7" customFormat="1">
      <c r="A122" s="7" t="str">
        <f t="shared" si="0"/>
        <v>PhyType.NewNpcType_303</v>
      </c>
      <c r="B122" s="7" t="s">
        <v>137</v>
      </c>
      <c r="C122" s="7">
        <v>303</v>
      </c>
      <c r="D122" s="6">
        <v>303</v>
      </c>
      <c r="E122" s="6"/>
      <c r="F122" s="6"/>
      <c r="G122" s="6" t="str">
        <f t="shared" si="30"/>
        <v>半兽人头目</v>
      </c>
      <c r="H122" s="6" t="str">
        <f t="shared" si="31"/>
        <v>边界村</v>
      </c>
      <c r="I122" s="6">
        <f t="shared" si="32"/>
        <v>41</v>
      </c>
      <c r="J122" s="6"/>
      <c r="K122" s="7">
        <f>原始值!D122+VLOOKUP($H122,怪物强度修正!$A$2:$R$17,COLUMN(K122)-9,FALSE)</f>
        <v>4</v>
      </c>
      <c r="L122" s="7">
        <f>原始值!E122+VLOOKUP($H122,怪物强度修正!$A$2:$R$17,COLUMN(L122)-9,FALSE)</f>
        <v>8</v>
      </c>
      <c r="M122" s="7">
        <f t="shared" si="17"/>
        <v>4</v>
      </c>
      <c r="N122" s="7">
        <f t="shared" si="18"/>
        <v>8</v>
      </c>
      <c r="O122" s="7">
        <f>原始值!H122+VLOOKUP($H122,怪物强度修正!$A$2:$R$17,COLUMN(O122)-9,FALSE)</f>
        <v>0</v>
      </c>
      <c r="P122" s="7">
        <f>原始值!I122+VLOOKUP($H122,怪物强度修正!$A$2:$R$17,COLUMN(P122)-9,FALSE)</f>
        <v>0</v>
      </c>
      <c r="Q122" s="7">
        <f>原始值!J122+VLOOKUP($H122,怪物强度修正!$A$2:$R$17,COLUMN(Q122)-9,FALSE)</f>
        <v>1</v>
      </c>
      <c r="R122" s="7">
        <f>原始值!K122+VLOOKUP($H122,怪物强度修正!$A$2:$R$17,COLUMN(R122)-9,FALSE)</f>
        <v>1</v>
      </c>
      <c r="S122" s="7">
        <f>原始值!L122+VLOOKUP($H122,怪物强度修正!$A$2:$R$17,COLUMN(S122)-9,FALSE)</f>
        <v>0</v>
      </c>
      <c r="T122" s="7">
        <f>原始值!M122+VLOOKUP($H122,怪物强度修正!$A$2:$R$17,COLUMN(T122)-9,FALSE)</f>
        <v>0</v>
      </c>
      <c r="U122" s="7">
        <f>原始值!N122+VLOOKUP($H122,怪物强度修正!$A$2:$R$17,COLUMN(U122)-9,FALSE)</f>
        <v>48</v>
      </c>
      <c r="V122" s="7">
        <v>1</v>
      </c>
      <c r="W122" s="7">
        <f>原始值!P122+VLOOKUP($H122,怪物强度修正!$A$2:$R$17,COLUMN(W122)-9,FALSE)</f>
        <v>6</v>
      </c>
      <c r="X122" s="7">
        <f>原始值!Q122+VLOOKUP($H122,怪物强度修正!$A$2:$R$17,COLUMN(X122)-9,FALSE)</f>
        <v>8</v>
      </c>
      <c r="Y122" s="7">
        <f>原始值!R122+VLOOKUP($H122,怪物强度修正!$A$2:$R$17,COLUMN(Y122)-9,FALSE)</f>
        <v>75</v>
      </c>
      <c r="Z122" s="7">
        <f>原始值!S122+VLOOKUP($H122,怪物强度修正!$A$2:$R$17,COLUMN(Z122)-9,FALSE)</f>
        <v>300</v>
      </c>
      <c r="AA122" s="7">
        <f>原始值!T122+VLOOKUP($H122,怪物强度修正!$A$2:$R$17,COLUMN(AA122)-9,FALSE)</f>
        <v>50</v>
      </c>
    </row>
    <row r="123" spans="1:27" s="7" customFormat="1">
      <c r="A123" s="7" t="str">
        <f t="shared" si="0"/>
        <v>PhyType.NewNpcType_304</v>
      </c>
      <c r="B123" s="7" t="s">
        <v>137</v>
      </c>
      <c r="C123" s="7">
        <v>304</v>
      </c>
      <c r="D123" s="6">
        <v>304</v>
      </c>
      <c r="E123" s="6"/>
      <c r="F123" s="6"/>
      <c r="G123" s="6" t="str">
        <f t="shared" si="30"/>
        <v>半兽人战士头目</v>
      </c>
      <c r="H123" s="6" t="str">
        <f t="shared" si="31"/>
        <v>比奇省</v>
      </c>
      <c r="I123" s="6">
        <f t="shared" si="32"/>
        <v>152</v>
      </c>
      <c r="J123" s="6"/>
      <c r="K123" s="7">
        <f>原始值!D123+VLOOKUP($H123,怪物强度修正!$A$2:$R$17,COLUMN(K123)-9,FALSE)</f>
        <v>6</v>
      </c>
      <c r="L123" s="7">
        <f>原始值!E123+VLOOKUP($H123,怪物强度修正!$A$2:$R$17,COLUMN(L123)-9,FALSE)</f>
        <v>14</v>
      </c>
      <c r="M123" s="7">
        <f t="shared" si="17"/>
        <v>6</v>
      </c>
      <c r="N123" s="7">
        <f t="shared" si="18"/>
        <v>14</v>
      </c>
      <c r="O123" s="7">
        <f>原始值!H123+VLOOKUP($H123,怪物强度修正!$A$2:$R$17,COLUMN(O123)-9,FALSE)</f>
        <v>0</v>
      </c>
      <c r="P123" s="7">
        <f>原始值!I123+VLOOKUP($H123,怪物强度修正!$A$2:$R$17,COLUMN(P123)-9,FALSE)</f>
        <v>0</v>
      </c>
      <c r="Q123" s="7">
        <f>原始值!J123+VLOOKUP($H123,怪物强度修正!$A$2:$R$17,COLUMN(Q123)-9,FALSE)</f>
        <v>3</v>
      </c>
      <c r="R123" s="7">
        <f>原始值!K123+VLOOKUP($H123,怪物强度修正!$A$2:$R$17,COLUMN(R123)-9,FALSE)</f>
        <v>3</v>
      </c>
      <c r="S123" s="7">
        <f>原始值!L123+VLOOKUP($H123,怪物强度修正!$A$2:$R$17,COLUMN(S123)-9,FALSE)</f>
        <v>1</v>
      </c>
      <c r="T123" s="7">
        <f>原始值!M123+VLOOKUP($H123,怪物强度修正!$A$2:$R$17,COLUMN(T123)-9,FALSE)</f>
        <v>1</v>
      </c>
      <c r="U123" s="7">
        <f>原始值!N123+VLOOKUP($H123,怪物强度修正!$A$2:$R$17,COLUMN(U123)-9,FALSE)</f>
        <v>160</v>
      </c>
      <c r="V123" s="7">
        <v>1</v>
      </c>
      <c r="W123" s="7">
        <f>原始值!P123+VLOOKUP($H123,怪物强度修正!$A$2:$R$17,COLUMN(W123)-9,FALSE)</f>
        <v>10</v>
      </c>
      <c r="X123" s="7">
        <f>原始值!Q123+VLOOKUP($H123,怪物强度修正!$A$2:$R$17,COLUMN(X123)-9,FALSE)</f>
        <v>13</v>
      </c>
      <c r="Y123" s="7">
        <f>原始值!R123+VLOOKUP($H123,怪物强度修正!$A$2:$R$17,COLUMN(Y123)-9,FALSE)</f>
        <v>75</v>
      </c>
      <c r="Z123" s="7">
        <f>原始值!S123+VLOOKUP($H123,怪物强度修正!$A$2:$R$17,COLUMN(Z123)-9,FALSE)</f>
        <v>300</v>
      </c>
      <c r="AA123" s="7">
        <f>原始值!T123+VLOOKUP($H123,怪物强度修正!$A$2:$R$17,COLUMN(AA123)-9,FALSE)</f>
        <v>50</v>
      </c>
    </row>
    <row r="124" spans="1:27" s="7" customFormat="1">
      <c r="A124" s="7" t="str">
        <f t="shared" si="0"/>
        <v>PhyType.NewNpcType_3041</v>
      </c>
      <c r="B124" s="7" t="s">
        <v>137</v>
      </c>
      <c r="C124" s="7">
        <v>3041</v>
      </c>
      <c r="D124" s="6">
        <v>3041</v>
      </c>
      <c r="E124" s="6"/>
      <c r="F124" s="6"/>
      <c r="G124" s="6" t="str">
        <f t="shared" si="30"/>
        <v>半兽人战士_BJC头目</v>
      </c>
      <c r="H124" s="6" t="str">
        <f t="shared" si="31"/>
        <v>边界村</v>
      </c>
      <c r="I124" s="6">
        <f t="shared" si="32"/>
        <v>55</v>
      </c>
      <c r="J124" s="6"/>
      <c r="K124" s="7">
        <f>原始值!D124+VLOOKUP($H124,怪物强度修正!$A$2:$R$17,COLUMN(K124)-9,FALSE)</f>
        <v>5</v>
      </c>
      <c r="L124" s="7">
        <f>原始值!E124+VLOOKUP($H124,怪物强度修正!$A$2:$R$17,COLUMN(L124)-9,FALSE)</f>
        <v>11</v>
      </c>
      <c r="M124" s="7">
        <f t="shared" si="17"/>
        <v>5</v>
      </c>
      <c r="N124" s="7">
        <f t="shared" si="18"/>
        <v>11</v>
      </c>
      <c r="O124" s="7">
        <f>原始值!H124+VLOOKUP($H124,怪物强度修正!$A$2:$R$17,COLUMN(O124)-9,FALSE)</f>
        <v>0</v>
      </c>
      <c r="P124" s="7">
        <f>原始值!I124+VLOOKUP($H124,怪物强度修正!$A$2:$R$17,COLUMN(P124)-9,FALSE)</f>
        <v>0</v>
      </c>
      <c r="Q124" s="7">
        <f>原始值!J124+VLOOKUP($H124,怪物强度修正!$A$2:$R$17,COLUMN(Q124)-9,FALSE)</f>
        <v>1</v>
      </c>
      <c r="R124" s="7">
        <f>原始值!K124+VLOOKUP($H124,怪物强度修正!$A$2:$R$17,COLUMN(R124)-9,FALSE)</f>
        <v>1</v>
      </c>
      <c r="S124" s="7">
        <f>原始值!L124+VLOOKUP($H124,怪物强度修正!$A$2:$R$17,COLUMN(S124)-9,FALSE)</f>
        <v>0</v>
      </c>
      <c r="T124" s="7">
        <f>原始值!M124+VLOOKUP($H124,怪物强度修正!$A$2:$R$17,COLUMN(T124)-9,FALSE)</f>
        <v>0</v>
      </c>
      <c r="U124" s="7">
        <f>原始值!N124+VLOOKUP($H124,怪物强度修正!$A$2:$R$17,COLUMN(U124)-9,FALSE)</f>
        <v>56</v>
      </c>
      <c r="V124" s="7">
        <v>1</v>
      </c>
      <c r="W124" s="7">
        <f>原始值!P124+VLOOKUP($H124,怪物强度修正!$A$2:$R$17,COLUMN(W124)-9,FALSE)</f>
        <v>10</v>
      </c>
      <c r="X124" s="7">
        <f>原始值!Q124+VLOOKUP($H124,怪物强度修正!$A$2:$R$17,COLUMN(X124)-9,FALSE)</f>
        <v>9</v>
      </c>
      <c r="Y124" s="7">
        <f>原始值!R124+VLOOKUP($H124,怪物强度修正!$A$2:$R$17,COLUMN(Y124)-9,FALSE)</f>
        <v>75</v>
      </c>
      <c r="Z124" s="7">
        <f>原始值!S124+VLOOKUP($H124,怪物强度修正!$A$2:$R$17,COLUMN(Z124)-9,FALSE)</f>
        <v>300</v>
      </c>
      <c r="AA124" s="7">
        <f>原始值!T124+VLOOKUP($H124,怪物强度修正!$A$2:$R$17,COLUMN(AA124)-9,FALSE)</f>
        <v>50</v>
      </c>
    </row>
    <row r="125" spans="1:27" s="7" customFormat="1">
      <c r="A125" s="7" t="str">
        <f t="shared" si="0"/>
        <v>PhyType.NewNpcType_3042</v>
      </c>
      <c r="B125" s="7" t="s">
        <v>137</v>
      </c>
      <c r="C125" s="7">
        <v>3042</v>
      </c>
      <c r="D125" s="6">
        <v>3042</v>
      </c>
      <c r="E125" s="6"/>
      <c r="F125" s="6"/>
      <c r="G125" s="6" t="str">
        <f t="shared" si="30"/>
        <v>半兽人战士_BQS头目</v>
      </c>
      <c r="H125" s="6" t="str">
        <f t="shared" si="31"/>
        <v>比奇省</v>
      </c>
      <c r="I125" s="6">
        <f t="shared" si="32"/>
        <v>67</v>
      </c>
      <c r="J125" s="6"/>
      <c r="K125" s="7">
        <f>原始值!D125+VLOOKUP($H125,怪物强度修正!$A$2:$R$17,COLUMN(K125)-9,FALSE)</f>
        <v>6</v>
      </c>
      <c r="L125" s="7">
        <f>原始值!E125+VLOOKUP($H125,怪物强度修正!$A$2:$R$17,COLUMN(L125)-9,FALSE)</f>
        <v>13</v>
      </c>
      <c r="M125" s="7">
        <f t="shared" si="17"/>
        <v>6</v>
      </c>
      <c r="N125" s="7">
        <f t="shared" si="18"/>
        <v>13</v>
      </c>
      <c r="O125" s="7">
        <f>原始值!H125+VLOOKUP($H125,怪物强度修正!$A$2:$R$17,COLUMN(O125)-9,FALSE)</f>
        <v>0</v>
      </c>
      <c r="P125" s="7">
        <f>原始值!I125+VLOOKUP($H125,怪物强度修正!$A$2:$R$17,COLUMN(P125)-9,FALSE)</f>
        <v>0</v>
      </c>
      <c r="Q125" s="7">
        <f>原始值!J125+VLOOKUP($H125,怪物强度修正!$A$2:$R$17,COLUMN(Q125)-9,FALSE)</f>
        <v>1</v>
      </c>
      <c r="R125" s="7">
        <f>原始值!K125+VLOOKUP($H125,怪物强度修正!$A$2:$R$17,COLUMN(R125)-9,FALSE)</f>
        <v>1</v>
      </c>
      <c r="S125" s="7">
        <f>原始值!L125+VLOOKUP($H125,怪物强度修正!$A$2:$R$17,COLUMN(S125)-9,FALSE)</f>
        <v>0</v>
      </c>
      <c r="T125" s="7">
        <f>原始值!M125+VLOOKUP($H125,怪物强度修正!$A$2:$R$17,COLUMN(T125)-9,FALSE)</f>
        <v>0</v>
      </c>
      <c r="U125" s="7">
        <f>原始值!N125+VLOOKUP($H125,怪物强度修正!$A$2:$R$17,COLUMN(U125)-9,FALSE)</f>
        <v>72</v>
      </c>
      <c r="V125" s="7">
        <v>1</v>
      </c>
      <c r="W125" s="7">
        <f>原始值!P125+VLOOKUP($H125,怪物强度修正!$A$2:$R$17,COLUMN(W125)-9,FALSE)</f>
        <v>10</v>
      </c>
      <c r="X125" s="7">
        <f>原始值!Q125+VLOOKUP($H125,怪物强度修正!$A$2:$R$17,COLUMN(X125)-9,FALSE)</f>
        <v>10</v>
      </c>
      <c r="Y125" s="7">
        <f>原始值!R125+VLOOKUP($H125,怪物强度修正!$A$2:$R$17,COLUMN(Y125)-9,FALSE)</f>
        <v>75</v>
      </c>
      <c r="Z125" s="7">
        <f>原始值!S125+VLOOKUP($H125,怪物强度修正!$A$2:$R$17,COLUMN(Z125)-9,FALSE)</f>
        <v>300</v>
      </c>
      <c r="AA125" s="7">
        <f>原始值!T125+VLOOKUP($H125,怪物强度修正!$A$2:$R$17,COLUMN(AA125)-9,FALSE)</f>
        <v>50</v>
      </c>
    </row>
    <row r="126" spans="1:27" s="7" customFormat="1">
      <c r="A126" s="7" t="str">
        <f t="shared" si="0"/>
        <v>PhyType.NewNpcType_305</v>
      </c>
      <c r="B126" s="7" t="s">
        <v>137</v>
      </c>
      <c r="C126" s="7">
        <v>305</v>
      </c>
      <c r="D126" s="6">
        <v>305</v>
      </c>
      <c r="E126" s="6"/>
      <c r="F126" s="6"/>
      <c r="G126" s="6" t="str">
        <f t="shared" si="30"/>
        <v>半兽人勇士头目</v>
      </c>
      <c r="H126" s="6" t="str">
        <f t="shared" si="31"/>
        <v>比奇省</v>
      </c>
      <c r="I126" s="6">
        <f t="shared" si="32"/>
        <v>509</v>
      </c>
      <c r="J126" s="6"/>
      <c r="K126" s="7">
        <f>原始值!D126+VLOOKUP($H126,怪物强度修正!$A$2:$R$17,COLUMN(K126)-9,FALSE)</f>
        <v>18</v>
      </c>
      <c r="L126" s="7">
        <f>原始值!E126+VLOOKUP($H126,怪物强度修正!$A$2:$R$17,COLUMN(L126)-9,FALSE)</f>
        <v>38</v>
      </c>
      <c r="M126" s="7">
        <f t="shared" si="17"/>
        <v>18</v>
      </c>
      <c r="N126" s="7">
        <f t="shared" si="18"/>
        <v>38</v>
      </c>
      <c r="O126" s="7">
        <f>原始值!H126+VLOOKUP($H126,怪物强度修正!$A$2:$R$17,COLUMN(O126)-9,FALSE)</f>
        <v>0</v>
      </c>
      <c r="P126" s="7">
        <f>原始值!I126+VLOOKUP($H126,怪物强度修正!$A$2:$R$17,COLUMN(P126)-9,FALSE)</f>
        <v>0</v>
      </c>
      <c r="Q126" s="7">
        <f>原始值!J126+VLOOKUP($H126,怪物强度修正!$A$2:$R$17,COLUMN(Q126)-9,FALSE)</f>
        <v>0</v>
      </c>
      <c r="R126" s="7">
        <f>原始值!K126+VLOOKUP($H126,怪物强度修正!$A$2:$R$17,COLUMN(R126)-9,FALSE)</f>
        <v>0</v>
      </c>
      <c r="S126" s="7">
        <f>原始值!L126+VLOOKUP($H126,怪物强度修正!$A$2:$R$17,COLUMN(S126)-9,FALSE)</f>
        <v>0</v>
      </c>
      <c r="T126" s="7">
        <f>原始值!M126+VLOOKUP($H126,怪物强度修正!$A$2:$R$17,COLUMN(T126)-9,FALSE)</f>
        <v>0</v>
      </c>
      <c r="U126" s="7">
        <f>原始值!N126+VLOOKUP($H126,怪物强度修正!$A$2:$R$17,COLUMN(U126)-9,FALSE)</f>
        <v>480</v>
      </c>
      <c r="V126" s="7">
        <v>1</v>
      </c>
      <c r="W126" s="7">
        <f>原始值!P126+VLOOKUP($H126,怪物强度修正!$A$2:$R$17,COLUMN(W126)-9,FALSE)</f>
        <v>13</v>
      </c>
      <c r="X126" s="7">
        <f>原始值!Q126+VLOOKUP($H126,怪物强度修正!$A$2:$R$17,COLUMN(X126)-9,FALSE)</f>
        <v>13</v>
      </c>
      <c r="Y126" s="7">
        <f>原始值!R126+VLOOKUP($H126,怪物强度修正!$A$2:$R$17,COLUMN(Y126)-9,FALSE)</f>
        <v>75</v>
      </c>
      <c r="Z126" s="7">
        <f>原始值!S126+VLOOKUP($H126,怪物强度修正!$A$2:$R$17,COLUMN(Z126)-9,FALSE)</f>
        <v>300</v>
      </c>
      <c r="AA126" s="7">
        <f>原始值!T126+VLOOKUP($H126,怪物强度修正!$A$2:$R$17,COLUMN(AA126)-9,FALSE)</f>
        <v>50</v>
      </c>
    </row>
    <row r="127" spans="1:27" s="7" customFormat="1">
      <c r="A127" s="7" t="str">
        <f t="shared" si="0"/>
        <v>PhyType.NewNpcType_3051</v>
      </c>
      <c r="B127" s="7" t="s">
        <v>137</v>
      </c>
      <c r="C127" s="7">
        <v>3051</v>
      </c>
      <c r="D127" s="6">
        <v>3051</v>
      </c>
      <c r="E127" s="6"/>
      <c r="F127" s="6"/>
      <c r="G127" s="6" t="str">
        <f t="shared" si="30"/>
        <v>半兽人勇士_BJC头目</v>
      </c>
      <c r="H127" s="6" t="str">
        <f t="shared" si="31"/>
        <v>边界村</v>
      </c>
      <c r="I127" s="6">
        <f t="shared" si="32"/>
        <v>101</v>
      </c>
      <c r="J127" s="6"/>
      <c r="K127" s="7">
        <f>原始值!D127+VLOOKUP($H127,怪物强度修正!$A$2:$R$17,COLUMN(K127)-9,FALSE)</f>
        <v>7</v>
      </c>
      <c r="L127" s="7">
        <f>原始值!E127+VLOOKUP($H127,怪物强度修正!$A$2:$R$17,COLUMN(L127)-9,FALSE)</f>
        <v>16</v>
      </c>
      <c r="M127" s="7">
        <f t="shared" si="17"/>
        <v>7</v>
      </c>
      <c r="N127" s="7">
        <f t="shared" si="18"/>
        <v>16</v>
      </c>
      <c r="O127" s="7">
        <f>原始值!H127+VLOOKUP($H127,怪物强度修正!$A$2:$R$17,COLUMN(O127)-9,FALSE)</f>
        <v>0</v>
      </c>
      <c r="P127" s="7">
        <f>原始值!I127+VLOOKUP($H127,怪物强度修正!$A$2:$R$17,COLUMN(P127)-9,FALSE)</f>
        <v>0</v>
      </c>
      <c r="Q127" s="7">
        <f>原始值!J127+VLOOKUP($H127,怪物强度修正!$A$2:$R$17,COLUMN(Q127)-9,FALSE)</f>
        <v>2</v>
      </c>
      <c r="R127" s="7">
        <f>原始值!K127+VLOOKUP($H127,怪物强度修正!$A$2:$R$17,COLUMN(R127)-9,FALSE)</f>
        <v>2</v>
      </c>
      <c r="S127" s="7">
        <f>原始值!L127+VLOOKUP($H127,怪物强度修正!$A$2:$R$17,COLUMN(S127)-9,FALSE)</f>
        <v>1</v>
      </c>
      <c r="T127" s="7">
        <f>原始值!M127+VLOOKUP($H127,怪物强度修正!$A$2:$R$17,COLUMN(T127)-9,FALSE)</f>
        <v>1</v>
      </c>
      <c r="U127" s="7">
        <f>原始值!N127+VLOOKUP($H127,怪物强度修正!$A$2:$R$17,COLUMN(U127)-9,FALSE)</f>
        <v>104</v>
      </c>
      <c r="V127" s="7">
        <v>1</v>
      </c>
      <c r="W127" s="7">
        <f>原始值!P127+VLOOKUP($H127,怪物强度修正!$A$2:$R$17,COLUMN(W127)-9,FALSE)</f>
        <v>13</v>
      </c>
      <c r="X127" s="7">
        <f>原始值!Q127+VLOOKUP($H127,怪物强度修正!$A$2:$R$17,COLUMN(X127)-9,FALSE)</f>
        <v>10</v>
      </c>
      <c r="Y127" s="7">
        <f>原始值!R127+VLOOKUP($H127,怪物强度修正!$A$2:$R$17,COLUMN(Y127)-9,FALSE)</f>
        <v>75</v>
      </c>
      <c r="Z127" s="7">
        <f>原始值!S127+VLOOKUP($H127,怪物强度修正!$A$2:$R$17,COLUMN(Z127)-9,FALSE)</f>
        <v>300</v>
      </c>
      <c r="AA127" s="7">
        <f>原始值!T127+VLOOKUP($H127,怪物强度修正!$A$2:$R$17,COLUMN(AA127)-9,FALSE)</f>
        <v>50</v>
      </c>
    </row>
    <row r="128" spans="1:27" s="7" customFormat="1">
      <c r="A128" s="7" t="str">
        <f t="shared" si="0"/>
        <v>PhyType.NewNpcType_3052</v>
      </c>
      <c r="B128" s="7" t="s">
        <v>137</v>
      </c>
      <c r="C128" s="7">
        <v>3052</v>
      </c>
      <c r="D128" s="6">
        <v>3052</v>
      </c>
      <c r="E128" s="6"/>
      <c r="F128" s="6"/>
      <c r="G128" s="6" t="str">
        <f t="shared" si="30"/>
        <v>半兽人勇士_BQS头目</v>
      </c>
      <c r="H128" s="6" t="str">
        <f t="shared" si="31"/>
        <v>比奇省</v>
      </c>
      <c r="I128" s="6">
        <f t="shared" si="32"/>
        <v>101</v>
      </c>
      <c r="J128" s="6"/>
      <c r="K128" s="7">
        <f>原始值!D128+VLOOKUP($H128,怪物强度修正!$A$2:$R$17,COLUMN(K128)-9,FALSE)</f>
        <v>7</v>
      </c>
      <c r="L128" s="7">
        <f>原始值!E128+VLOOKUP($H128,怪物强度修正!$A$2:$R$17,COLUMN(L128)-9,FALSE)</f>
        <v>16</v>
      </c>
      <c r="M128" s="7">
        <f t="shared" si="17"/>
        <v>7</v>
      </c>
      <c r="N128" s="7">
        <f t="shared" si="18"/>
        <v>16</v>
      </c>
      <c r="O128" s="7">
        <f>原始值!H128+VLOOKUP($H128,怪物强度修正!$A$2:$R$17,COLUMN(O128)-9,FALSE)</f>
        <v>0</v>
      </c>
      <c r="P128" s="7">
        <f>原始值!I128+VLOOKUP($H128,怪物强度修正!$A$2:$R$17,COLUMN(P128)-9,FALSE)</f>
        <v>0</v>
      </c>
      <c r="Q128" s="7">
        <f>原始值!J128+VLOOKUP($H128,怪物强度修正!$A$2:$R$17,COLUMN(Q128)-9,FALSE)</f>
        <v>2</v>
      </c>
      <c r="R128" s="7">
        <f>原始值!K128+VLOOKUP($H128,怪物强度修正!$A$2:$R$17,COLUMN(R128)-9,FALSE)</f>
        <v>2</v>
      </c>
      <c r="S128" s="7">
        <f>原始值!L128+VLOOKUP($H128,怪物强度修正!$A$2:$R$17,COLUMN(S128)-9,FALSE)</f>
        <v>1</v>
      </c>
      <c r="T128" s="7">
        <f>原始值!M128+VLOOKUP($H128,怪物强度修正!$A$2:$R$17,COLUMN(T128)-9,FALSE)</f>
        <v>1</v>
      </c>
      <c r="U128" s="7">
        <f>原始值!N128+VLOOKUP($H128,怪物强度修正!$A$2:$R$17,COLUMN(U128)-9,FALSE)</f>
        <v>104</v>
      </c>
      <c r="V128" s="7">
        <v>1</v>
      </c>
      <c r="W128" s="7">
        <f>原始值!P128+VLOOKUP($H128,怪物强度修正!$A$2:$R$17,COLUMN(W128)-9,FALSE)</f>
        <v>13</v>
      </c>
      <c r="X128" s="7">
        <f>原始值!Q128+VLOOKUP($H128,怪物强度修正!$A$2:$R$17,COLUMN(X128)-9,FALSE)</f>
        <v>11</v>
      </c>
      <c r="Y128" s="7">
        <f>原始值!R128+VLOOKUP($H128,怪物强度修正!$A$2:$R$17,COLUMN(Y128)-9,FALSE)</f>
        <v>75</v>
      </c>
      <c r="Z128" s="7">
        <f>原始值!S128+VLOOKUP($H128,怪物强度修正!$A$2:$R$17,COLUMN(Z128)-9,FALSE)</f>
        <v>300</v>
      </c>
      <c r="AA128" s="7">
        <f>原始值!T128+VLOOKUP($H128,怪物强度修正!$A$2:$R$17,COLUMN(AA128)-9,FALSE)</f>
        <v>50</v>
      </c>
    </row>
    <row r="129" spans="1:27" s="7" customFormat="1">
      <c r="A129" s="7" t="str">
        <f t="shared" si="0"/>
        <v>PhyType.NewNpcType_306</v>
      </c>
      <c r="B129" s="7" t="s">
        <v>137</v>
      </c>
      <c r="C129" s="7">
        <v>306</v>
      </c>
      <c r="D129" s="6">
        <v>306</v>
      </c>
      <c r="E129" s="6"/>
      <c r="F129" s="6"/>
      <c r="G129" s="6" t="str">
        <f t="shared" si="30"/>
        <v>鹿头目</v>
      </c>
      <c r="H129" s="6" t="str">
        <f t="shared" si="31"/>
        <v>边界村</v>
      </c>
      <c r="I129" s="6">
        <f t="shared" si="32"/>
        <v>24</v>
      </c>
      <c r="J129" s="6"/>
      <c r="K129" s="7">
        <f>原始值!D129+VLOOKUP($H129,怪物强度修正!$A$2:$R$17,COLUMN(K129)-9,FALSE)</f>
        <v>2</v>
      </c>
      <c r="L129" s="7">
        <f>原始值!E129+VLOOKUP($H129,怪物强度修正!$A$2:$R$17,COLUMN(L129)-9,FALSE)</f>
        <v>5</v>
      </c>
      <c r="M129" s="7">
        <f t="shared" si="17"/>
        <v>2</v>
      </c>
      <c r="N129" s="7">
        <f t="shared" si="18"/>
        <v>5</v>
      </c>
      <c r="O129" s="7">
        <f>原始值!H129+VLOOKUP($H129,怪物强度修正!$A$2:$R$17,COLUMN(O129)-9,FALSE)</f>
        <v>0</v>
      </c>
      <c r="P129" s="7">
        <f>原始值!I129+VLOOKUP($H129,怪物强度修正!$A$2:$R$17,COLUMN(P129)-9,FALSE)</f>
        <v>0</v>
      </c>
      <c r="Q129" s="7">
        <f>原始值!J129+VLOOKUP($H129,怪物强度修正!$A$2:$R$17,COLUMN(Q129)-9,FALSE)</f>
        <v>0</v>
      </c>
      <c r="R129" s="7">
        <f>原始值!K129+VLOOKUP($H129,怪物强度修正!$A$2:$R$17,COLUMN(R129)-9,FALSE)</f>
        <v>0</v>
      </c>
      <c r="S129" s="7">
        <f>原始值!L129+VLOOKUP($H129,怪物强度修正!$A$2:$R$17,COLUMN(S129)-9,FALSE)</f>
        <v>0</v>
      </c>
      <c r="T129" s="7">
        <f>原始值!M129+VLOOKUP($H129,怪物强度修正!$A$2:$R$17,COLUMN(T129)-9,FALSE)</f>
        <v>0</v>
      </c>
      <c r="U129" s="7">
        <f>原始值!N129+VLOOKUP($H129,怪物强度修正!$A$2:$R$17,COLUMN(U129)-9,FALSE)</f>
        <v>24</v>
      </c>
      <c r="V129" s="7">
        <v>1</v>
      </c>
      <c r="W129" s="7">
        <f>原始值!P129+VLOOKUP($H129,怪物强度修正!$A$2:$R$17,COLUMN(W129)-9,FALSE)</f>
        <v>12</v>
      </c>
      <c r="X129" s="7">
        <f>原始值!Q129+VLOOKUP($H129,怪物强度修正!$A$2:$R$17,COLUMN(X129)-9,FALSE)</f>
        <v>1</v>
      </c>
      <c r="Y129" s="7">
        <f>原始值!R129+VLOOKUP($H129,怪物强度修正!$A$2:$R$17,COLUMN(Y129)-9,FALSE)</f>
        <v>75</v>
      </c>
      <c r="Z129" s="7">
        <f>原始值!S129+VLOOKUP($H129,怪物强度修正!$A$2:$R$17,COLUMN(Z129)-9,FALSE)</f>
        <v>300</v>
      </c>
      <c r="AA129" s="7">
        <f>原始值!T129+VLOOKUP($H129,怪物强度修正!$A$2:$R$17,COLUMN(AA129)-9,FALSE)</f>
        <v>50</v>
      </c>
    </row>
    <row r="130" spans="1:27" s="7" customFormat="1">
      <c r="A130" s="7" t="str">
        <f t="shared" si="0"/>
        <v>PhyType.NewNpcType_307</v>
      </c>
      <c r="B130" s="7" t="s">
        <v>137</v>
      </c>
      <c r="C130" s="7">
        <v>307</v>
      </c>
      <c r="D130" s="6">
        <v>307</v>
      </c>
      <c r="E130" s="6"/>
      <c r="F130" s="6"/>
      <c r="G130" s="6" t="str">
        <f t="shared" si="30"/>
        <v>残肢僵尸头目</v>
      </c>
      <c r="H130" s="6" t="str">
        <f t="shared" si="31"/>
        <v>比奇矿区</v>
      </c>
      <c r="I130" s="6">
        <f t="shared" si="32"/>
        <v>237</v>
      </c>
      <c r="J130" s="6"/>
      <c r="K130" s="7">
        <f>原始值!D130+VLOOKUP($H130,怪物强度修正!$A$2:$R$17,COLUMN(K130)-9,FALSE)</f>
        <v>6</v>
      </c>
      <c r="L130" s="7">
        <f>原始值!E130+VLOOKUP($H130,怪物强度修正!$A$2:$R$17,COLUMN(L130)-9,FALSE)</f>
        <v>14</v>
      </c>
      <c r="M130" s="7">
        <f t="shared" si="17"/>
        <v>6</v>
      </c>
      <c r="N130" s="7">
        <f t="shared" si="18"/>
        <v>14</v>
      </c>
      <c r="O130" s="7">
        <f>原始值!H130+VLOOKUP($H130,怪物强度修正!$A$2:$R$17,COLUMN(O130)-9,FALSE)</f>
        <v>0</v>
      </c>
      <c r="P130" s="7">
        <f>原始值!I130+VLOOKUP($H130,怪物强度修正!$A$2:$R$17,COLUMN(P130)-9,FALSE)</f>
        <v>0</v>
      </c>
      <c r="Q130" s="7">
        <f>原始值!J130+VLOOKUP($H130,怪物强度修正!$A$2:$R$17,COLUMN(Q130)-9,FALSE)</f>
        <v>2</v>
      </c>
      <c r="R130" s="7">
        <f>原始值!K130+VLOOKUP($H130,怪物强度修正!$A$2:$R$17,COLUMN(R130)-9,FALSE)</f>
        <v>2</v>
      </c>
      <c r="S130" s="7">
        <f>原始值!L130+VLOOKUP($H130,怪物强度修正!$A$2:$R$17,COLUMN(S130)-9,FALSE)</f>
        <v>1</v>
      </c>
      <c r="T130" s="7">
        <f>原始值!M130+VLOOKUP($H130,怪物强度修正!$A$2:$R$17,COLUMN(T130)-9,FALSE)</f>
        <v>1</v>
      </c>
      <c r="U130" s="7">
        <f>原始值!N130+VLOOKUP($H130,怪物强度修正!$A$2:$R$17,COLUMN(U130)-9,FALSE)</f>
        <v>248</v>
      </c>
      <c r="V130" s="7">
        <v>1</v>
      </c>
      <c r="W130" s="7">
        <f>原始值!P130+VLOOKUP($H130,怪物强度修正!$A$2:$R$17,COLUMN(W130)-9,FALSE)</f>
        <v>12</v>
      </c>
      <c r="X130" s="7">
        <f>原始值!Q130+VLOOKUP($H130,怪物强度修正!$A$2:$R$17,COLUMN(X130)-9,FALSE)</f>
        <v>15</v>
      </c>
      <c r="Y130" s="7">
        <f>原始值!R130+VLOOKUP($H130,怪物强度修正!$A$2:$R$17,COLUMN(Y130)-9,FALSE)</f>
        <v>75</v>
      </c>
      <c r="Z130" s="7">
        <f>原始值!S130+VLOOKUP($H130,怪物强度修正!$A$2:$R$17,COLUMN(Z130)-9,FALSE)</f>
        <v>300</v>
      </c>
      <c r="AA130" s="7">
        <f>原始值!T130+VLOOKUP($H130,怪物强度修正!$A$2:$R$17,COLUMN(AA130)-9,FALSE)</f>
        <v>50</v>
      </c>
    </row>
    <row r="131" spans="1:27" s="7" customFormat="1">
      <c r="A131" s="7" t="str">
        <f t="shared" si="0"/>
        <v>PhyType.NewNpcType_308</v>
      </c>
      <c r="B131" s="7" t="s">
        <v>137</v>
      </c>
      <c r="C131" s="7">
        <v>308</v>
      </c>
      <c r="D131" s="6">
        <v>308</v>
      </c>
      <c r="E131" s="6"/>
      <c r="F131" s="6"/>
      <c r="G131" s="6" t="str">
        <f t="shared" si="30"/>
        <v>直立僵尸头目</v>
      </c>
      <c r="H131" s="6" t="str">
        <f t="shared" si="31"/>
        <v>比奇矿区</v>
      </c>
      <c r="I131" s="6">
        <f t="shared" si="32"/>
        <v>254</v>
      </c>
      <c r="J131" s="6"/>
      <c r="K131" s="7">
        <f>原始值!D131+VLOOKUP($H131,怪物强度修正!$A$2:$R$17,COLUMN(K131)-9,FALSE)</f>
        <v>6</v>
      </c>
      <c r="L131" s="7">
        <f>原始值!E131+VLOOKUP($H131,怪物强度修正!$A$2:$R$17,COLUMN(L131)-9,FALSE)</f>
        <v>18</v>
      </c>
      <c r="M131" s="7">
        <f t="shared" si="17"/>
        <v>6</v>
      </c>
      <c r="N131" s="7">
        <f t="shared" si="18"/>
        <v>18</v>
      </c>
      <c r="O131" s="7">
        <f>原始值!H131+VLOOKUP($H131,怪物强度修正!$A$2:$R$17,COLUMN(O131)-9,FALSE)</f>
        <v>0</v>
      </c>
      <c r="P131" s="7">
        <f>原始值!I131+VLOOKUP($H131,怪物强度修正!$A$2:$R$17,COLUMN(P131)-9,FALSE)</f>
        <v>0</v>
      </c>
      <c r="Q131" s="7">
        <f>原始值!J131+VLOOKUP($H131,怪物强度修正!$A$2:$R$17,COLUMN(Q131)-9,FALSE)</f>
        <v>2</v>
      </c>
      <c r="R131" s="7">
        <f>原始值!K131+VLOOKUP($H131,怪物强度修正!$A$2:$R$17,COLUMN(R131)-9,FALSE)</f>
        <v>2</v>
      </c>
      <c r="S131" s="7">
        <f>原始值!L131+VLOOKUP($H131,怪物强度修正!$A$2:$R$17,COLUMN(S131)-9,FALSE)</f>
        <v>1</v>
      </c>
      <c r="T131" s="7">
        <f>原始值!M131+VLOOKUP($H131,怪物强度修正!$A$2:$R$17,COLUMN(T131)-9,FALSE)</f>
        <v>1</v>
      </c>
      <c r="U131" s="7">
        <f>原始值!N131+VLOOKUP($H131,怪物强度修正!$A$2:$R$17,COLUMN(U131)-9,FALSE)</f>
        <v>248</v>
      </c>
      <c r="V131" s="7">
        <v>1</v>
      </c>
      <c r="W131" s="7">
        <f>原始值!P131+VLOOKUP($H131,怪物强度修正!$A$2:$R$17,COLUMN(W131)-9,FALSE)</f>
        <v>12</v>
      </c>
      <c r="X131" s="7">
        <f>原始值!Q131+VLOOKUP($H131,怪物强度修正!$A$2:$R$17,COLUMN(X131)-9,FALSE)</f>
        <v>15</v>
      </c>
      <c r="Y131" s="7">
        <f>原始值!R131+VLOOKUP($H131,怪物强度修正!$A$2:$R$17,COLUMN(Y131)-9,FALSE)</f>
        <v>75</v>
      </c>
      <c r="Z131" s="7">
        <f>原始值!S131+VLOOKUP($H131,怪物强度修正!$A$2:$R$17,COLUMN(Z131)-9,FALSE)</f>
        <v>300</v>
      </c>
      <c r="AA131" s="7">
        <f>原始值!T131+VLOOKUP($H131,怪物强度修正!$A$2:$R$17,COLUMN(AA131)-9,FALSE)</f>
        <v>50</v>
      </c>
    </row>
    <row r="132" spans="1:27" s="7" customFormat="1">
      <c r="A132" s="7" t="str">
        <f t="shared" si="0"/>
        <v>PhyType.NewNpcType_309</v>
      </c>
      <c r="B132" s="7" t="s">
        <v>137</v>
      </c>
      <c r="C132" s="7">
        <v>309</v>
      </c>
      <c r="D132" s="6">
        <v>309</v>
      </c>
      <c r="E132" s="6"/>
      <c r="F132" s="6"/>
      <c r="G132" s="6" t="str">
        <f t="shared" si="30"/>
        <v>和尚僵尸头目</v>
      </c>
      <c r="H132" s="6" t="str">
        <f t="shared" si="31"/>
        <v>比奇矿区</v>
      </c>
      <c r="I132" s="6">
        <f t="shared" si="32"/>
        <v>271</v>
      </c>
      <c r="J132" s="6"/>
      <c r="K132" s="7">
        <f>原始值!D132+VLOOKUP($H132,怪物强度修正!$A$2:$R$17,COLUMN(K132)-9,FALSE)</f>
        <v>10</v>
      </c>
      <c r="L132" s="7">
        <f>原始值!E132+VLOOKUP($H132,怪物强度修正!$A$2:$R$17,COLUMN(L132)-9,FALSE)</f>
        <v>18</v>
      </c>
      <c r="M132" s="7">
        <f t="shared" si="17"/>
        <v>10</v>
      </c>
      <c r="N132" s="7">
        <f t="shared" si="18"/>
        <v>18</v>
      </c>
      <c r="O132" s="7">
        <f>原始值!H132+VLOOKUP($H132,怪物强度修正!$A$2:$R$17,COLUMN(O132)-9,FALSE)</f>
        <v>0</v>
      </c>
      <c r="P132" s="7">
        <f>原始值!I132+VLOOKUP($H132,怪物强度修正!$A$2:$R$17,COLUMN(P132)-9,FALSE)</f>
        <v>0</v>
      </c>
      <c r="Q132" s="7">
        <f>原始值!J132+VLOOKUP($H132,怪物强度修正!$A$2:$R$17,COLUMN(Q132)-9,FALSE)</f>
        <v>2</v>
      </c>
      <c r="R132" s="7">
        <f>原始值!K132+VLOOKUP($H132,怪物强度修正!$A$2:$R$17,COLUMN(R132)-9,FALSE)</f>
        <v>2</v>
      </c>
      <c r="S132" s="7">
        <f>原始值!L132+VLOOKUP($H132,怪物强度修正!$A$2:$R$17,COLUMN(S132)-9,FALSE)</f>
        <v>1</v>
      </c>
      <c r="T132" s="7">
        <f>原始值!M132+VLOOKUP($H132,怪物强度修正!$A$2:$R$17,COLUMN(T132)-9,FALSE)</f>
        <v>1</v>
      </c>
      <c r="U132" s="7">
        <f>原始值!N132+VLOOKUP($H132,怪物强度修正!$A$2:$R$17,COLUMN(U132)-9,FALSE)</f>
        <v>248</v>
      </c>
      <c r="V132" s="7">
        <v>1</v>
      </c>
      <c r="W132" s="7">
        <f>原始值!P132+VLOOKUP($H132,怪物强度修正!$A$2:$R$17,COLUMN(W132)-9,FALSE)</f>
        <v>12</v>
      </c>
      <c r="X132" s="7">
        <f>原始值!Q132+VLOOKUP($H132,怪物强度修正!$A$2:$R$17,COLUMN(X132)-9,FALSE)</f>
        <v>15</v>
      </c>
      <c r="Y132" s="7">
        <f>原始值!R132+VLOOKUP($H132,怪物强度修正!$A$2:$R$17,COLUMN(Y132)-9,FALSE)</f>
        <v>75</v>
      </c>
      <c r="Z132" s="7">
        <f>原始值!S132+VLOOKUP($H132,怪物强度修正!$A$2:$R$17,COLUMN(Z132)-9,FALSE)</f>
        <v>300</v>
      </c>
      <c r="AA132" s="7">
        <f>原始值!T132+VLOOKUP($H132,怪物强度修正!$A$2:$R$17,COLUMN(AA132)-9,FALSE)</f>
        <v>50</v>
      </c>
    </row>
    <row r="133" spans="1:27" s="7" customFormat="1">
      <c r="A133" s="7" t="str">
        <f t="shared" si="0"/>
        <v>PhyType.NewNpcType_310</v>
      </c>
      <c r="B133" s="7" t="s">
        <v>137</v>
      </c>
      <c r="C133" s="7">
        <v>310</v>
      </c>
      <c r="D133" s="6">
        <v>310</v>
      </c>
      <c r="E133" s="6"/>
      <c r="F133" s="6"/>
      <c r="G133" s="6" t="str">
        <f t="shared" si="30"/>
        <v>道士僵尸头目</v>
      </c>
      <c r="H133" s="6" t="str">
        <f t="shared" si="31"/>
        <v>比奇矿区</v>
      </c>
      <c r="I133" s="6">
        <f t="shared" si="32"/>
        <v>288</v>
      </c>
      <c r="J133" s="6"/>
      <c r="K133" s="7">
        <f>原始值!D133+VLOOKUP($H133,怪物强度修正!$A$2:$R$17,COLUMN(K133)-9,FALSE)</f>
        <v>10</v>
      </c>
      <c r="L133" s="7">
        <f>原始值!E133+VLOOKUP($H133,怪物强度修正!$A$2:$R$17,COLUMN(L133)-9,FALSE)</f>
        <v>20</v>
      </c>
      <c r="M133" s="7">
        <f t="shared" si="17"/>
        <v>10</v>
      </c>
      <c r="N133" s="7">
        <f t="shared" si="18"/>
        <v>20</v>
      </c>
      <c r="O133" s="7">
        <f>原始值!H133+VLOOKUP($H133,怪物强度修正!$A$2:$R$17,COLUMN(O133)-9,FALSE)</f>
        <v>0</v>
      </c>
      <c r="P133" s="7">
        <f>原始值!I133+VLOOKUP($H133,怪物强度修正!$A$2:$R$17,COLUMN(P133)-9,FALSE)</f>
        <v>0</v>
      </c>
      <c r="Q133" s="7">
        <f>原始值!J133+VLOOKUP($H133,怪物强度修正!$A$2:$R$17,COLUMN(Q133)-9,FALSE)</f>
        <v>2</v>
      </c>
      <c r="R133" s="7">
        <f>原始值!K133+VLOOKUP($H133,怪物强度修正!$A$2:$R$17,COLUMN(R133)-9,FALSE)</f>
        <v>2</v>
      </c>
      <c r="S133" s="7">
        <f>原始值!L133+VLOOKUP($H133,怪物强度修正!$A$2:$R$17,COLUMN(S133)-9,FALSE)</f>
        <v>2</v>
      </c>
      <c r="T133" s="7">
        <f>原始值!M133+VLOOKUP($H133,怪物强度修正!$A$2:$R$17,COLUMN(T133)-9,FALSE)</f>
        <v>2</v>
      </c>
      <c r="U133" s="7">
        <f>原始值!N133+VLOOKUP($H133,怪物强度修正!$A$2:$R$17,COLUMN(U133)-9,FALSE)</f>
        <v>248</v>
      </c>
      <c r="V133" s="7">
        <v>1</v>
      </c>
      <c r="W133" s="7">
        <f>原始值!P133+VLOOKUP($H133,怪物强度修正!$A$2:$R$17,COLUMN(W133)-9,FALSE)</f>
        <v>12</v>
      </c>
      <c r="X133" s="7">
        <f>原始值!Q133+VLOOKUP($H133,怪物强度修正!$A$2:$R$17,COLUMN(X133)-9,FALSE)</f>
        <v>15</v>
      </c>
      <c r="Y133" s="7">
        <f>原始值!R133+VLOOKUP($H133,怪物强度修正!$A$2:$R$17,COLUMN(Y133)-9,FALSE)</f>
        <v>75</v>
      </c>
      <c r="Z133" s="7">
        <f>原始值!S133+VLOOKUP($H133,怪物强度修正!$A$2:$R$17,COLUMN(Z133)-9,FALSE)</f>
        <v>300</v>
      </c>
      <c r="AA133" s="7">
        <f>原始值!T133+VLOOKUP($H133,怪物强度修正!$A$2:$R$17,COLUMN(AA133)-9,FALSE)</f>
        <v>50</v>
      </c>
    </row>
    <row r="134" spans="1:27" s="7" customFormat="1">
      <c r="A134" s="7" t="str">
        <f t="shared" si="0"/>
        <v>PhyType.NewNpcType_311</v>
      </c>
      <c r="B134" s="7" t="s">
        <v>137</v>
      </c>
      <c r="C134" s="7">
        <v>311</v>
      </c>
      <c r="D134" s="6">
        <v>311</v>
      </c>
      <c r="E134" s="6"/>
      <c r="F134" s="6"/>
      <c r="G134" s="6" t="str">
        <f t="shared" si="30"/>
        <v>矿区小蝙蝠头目</v>
      </c>
      <c r="H134" s="6" t="str">
        <f t="shared" si="31"/>
        <v>比奇矿区</v>
      </c>
      <c r="I134" s="6">
        <f t="shared" si="32"/>
        <v>41</v>
      </c>
      <c r="J134" s="6"/>
      <c r="K134" s="7">
        <f>原始值!D134+VLOOKUP($H134,怪物强度修正!$A$2:$R$17,COLUMN(K134)-9,FALSE)</f>
        <v>5</v>
      </c>
      <c r="L134" s="7">
        <f>原始值!E134+VLOOKUP($H134,怪物强度修正!$A$2:$R$17,COLUMN(L134)-9,FALSE)</f>
        <v>7</v>
      </c>
      <c r="M134" s="7">
        <f t="shared" si="17"/>
        <v>5</v>
      </c>
      <c r="N134" s="7">
        <f t="shared" si="18"/>
        <v>7</v>
      </c>
      <c r="O134" s="7">
        <f>原始值!H134+VLOOKUP($H134,怪物强度修正!$A$2:$R$17,COLUMN(O134)-9,FALSE)</f>
        <v>0</v>
      </c>
      <c r="P134" s="7">
        <f>原始值!I134+VLOOKUP($H134,怪物强度修正!$A$2:$R$17,COLUMN(P134)-9,FALSE)</f>
        <v>0</v>
      </c>
      <c r="Q134" s="7">
        <f>原始值!J134+VLOOKUP($H134,怪物强度修正!$A$2:$R$17,COLUMN(Q134)-9,FALSE)</f>
        <v>2</v>
      </c>
      <c r="R134" s="7">
        <f>原始值!K134+VLOOKUP($H134,怪物强度修正!$A$2:$R$17,COLUMN(R134)-9,FALSE)</f>
        <v>2</v>
      </c>
      <c r="S134" s="7">
        <f>原始值!L134+VLOOKUP($H134,怪物强度修正!$A$2:$R$17,COLUMN(S134)-9,FALSE)</f>
        <v>0</v>
      </c>
      <c r="T134" s="7">
        <f>原始值!M134+VLOOKUP($H134,怪物强度修正!$A$2:$R$17,COLUMN(T134)-9,FALSE)</f>
        <v>0</v>
      </c>
      <c r="U134" s="7">
        <f>原始值!N134+VLOOKUP($H134,怪物强度修正!$A$2:$R$17,COLUMN(U134)-9,FALSE)</f>
        <v>40</v>
      </c>
      <c r="V134" s="7">
        <v>1</v>
      </c>
      <c r="W134" s="7">
        <f>原始值!P134+VLOOKUP($H134,怪物强度修正!$A$2:$R$17,COLUMN(W134)-9,FALSE)</f>
        <v>11</v>
      </c>
      <c r="X134" s="7">
        <f>原始值!Q134+VLOOKUP($H134,怪物强度修正!$A$2:$R$17,COLUMN(X134)-9,FALSE)</f>
        <v>25</v>
      </c>
      <c r="Y134" s="7">
        <f>原始值!R134+VLOOKUP($H134,怪物强度修正!$A$2:$R$17,COLUMN(Y134)-9,FALSE)</f>
        <v>75</v>
      </c>
      <c r="Z134" s="7">
        <f>原始值!S134+VLOOKUP($H134,怪物强度修正!$A$2:$R$17,COLUMN(Z134)-9,FALSE)</f>
        <v>300</v>
      </c>
      <c r="AA134" s="7">
        <f>原始值!T134+VLOOKUP($H134,怪物强度修正!$A$2:$R$17,COLUMN(AA134)-9,FALSE)</f>
        <v>50</v>
      </c>
    </row>
    <row r="135" spans="1:27" s="7" customFormat="1">
      <c r="A135" s="7" t="str">
        <f t="shared" si="0"/>
        <v>PhyType.NewNpcType_312</v>
      </c>
      <c r="B135" s="7" t="s">
        <v>137</v>
      </c>
      <c r="C135" s="7">
        <v>312</v>
      </c>
      <c r="D135" s="6">
        <v>312</v>
      </c>
      <c r="E135" s="6"/>
      <c r="F135" s="6"/>
      <c r="G135" s="6" t="str">
        <f t="shared" si="30"/>
        <v>暗黑战士头目</v>
      </c>
      <c r="H135" s="6" t="str">
        <f t="shared" si="31"/>
        <v>沃玛寺庙</v>
      </c>
      <c r="I135" s="6">
        <f t="shared" si="32"/>
        <v>339</v>
      </c>
      <c r="J135" s="6"/>
      <c r="K135" s="7">
        <f>原始值!D135+VLOOKUP($H135,怪物强度修正!$A$2:$R$17,COLUMN(K135)-9,FALSE)</f>
        <v>9</v>
      </c>
      <c r="L135" s="7">
        <f>原始值!E135+VLOOKUP($H135,怪物强度修正!$A$2:$R$17,COLUMN(L135)-9,FALSE)</f>
        <v>17</v>
      </c>
      <c r="M135" s="7">
        <f t="shared" si="17"/>
        <v>9</v>
      </c>
      <c r="N135" s="7">
        <f t="shared" si="18"/>
        <v>17</v>
      </c>
      <c r="O135" s="7">
        <f>原始值!H135+VLOOKUP($H135,怪物强度修正!$A$2:$R$17,COLUMN(O135)-9,FALSE)</f>
        <v>0</v>
      </c>
      <c r="P135" s="7">
        <f>原始值!I135+VLOOKUP($H135,怪物强度修正!$A$2:$R$17,COLUMN(P135)-9,FALSE)</f>
        <v>0</v>
      </c>
      <c r="Q135" s="7">
        <f>原始值!J135+VLOOKUP($H135,怪物强度修正!$A$2:$R$17,COLUMN(Q135)-9,FALSE)</f>
        <v>3</v>
      </c>
      <c r="R135" s="7">
        <f>原始值!K135+VLOOKUP($H135,怪物强度修正!$A$2:$R$17,COLUMN(R135)-9,FALSE)</f>
        <v>3</v>
      </c>
      <c r="S135" s="7">
        <f>原始值!L135+VLOOKUP($H135,怪物强度修正!$A$2:$R$17,COLUMN(S135)-9,FALSE)</f>
        <v>2</v>
      </c>
      <c r="T135" s="7">
        <f>原始值!M135+VLOOKUP($H135,怪物强度修正!$A$2:$R$17,COLUMN(T135)-9,FALSE)</f>
        <v>2</v>
      </c>
      <c r="U135" s="7">
        <f>原始值!N135+VLOOKUP($H135,怪物强度修正!$A$2:$R$17,COLUMN(U135)-9,FALSE)</f>
        <v>264</v>
      </c>
      <c r="V135" s="7">
        <v>1</v>
      </c>
      <c r="W135" s="7">
        <f>原始值!P135+VLOOKUP($H135,怪物强度修正!$A$2:$R$17,COLUMN(W135)-9,FALSE)</f>
        <v>15</v>
      </c>
      <c r="X135" s="7">
        <f>原始值!Q135+VLOOKUP($H135,怪物强度修正!$A$2:$R$17,COLUMN(X135)-9,FALSE)</f>
        <v>15</v>
      </c>
      <c r="Y135" s="7">
        <f>原始值!R135+VLOOKUP($H135,怪物强度修正!$A$2:$R$17,COLUMN(Y135)-9,FALSE)</f>
        <v>75</v>
      </c>
      <c r="Z135" s="7">
        <f>原始值!S135+VLOOKUP($H135,怪物强度修正!$A$2:$R$17,COLUMN(Z135)-9,FALSE)</f>
        <v>300</v>
      </c>
      <c r="AA135" s="7">
        <f>原始值!T135+VLOOKUP($H135,怪物强度修正!$A$2:$R$17,COLUMN(AA135)-9,FALSE)</f>
        <v>50</v>
      </c>
    </row>
    <row r="136" spans="1:27" s="7" customFormat="1">
      <c r="A136" s="7" t="str">
        <f t="shared" si="0"/>
        <v>PhyType.NewNpcType_313</v>
      </c>
      <c r="B136" s="7" t="s">
        <v>137</v>
      </c>
      <c r="C136" s="7">
        <v>313</v>
      </c>
      <c r="D136" s="6">
        <v>313</v>
      </c>
      <c r="E136" s="6"/>
      <c r="F136" s="6"/>
      <c r="G136" s="6" t="str">
        <f t="shared" si="30"/>
        <v>沃玛战士头目</v>
      </c>
      <c r="H136" s="6" t="str">
        <f t="shared" si="31"/>
        <v>沃玛寺庙</v>
      </c>
      <c r="I136" s="6">
        <f t="shared" si="32"/>
        <v>441</v>
      </c>
      <c r="J136" s="6"/>
      <c r="K136" s="7">
        <f>原始值!D136+VLOOKUP($H136,怪物强度修正!$A$2:$R$17,COLUMN(K136)-9,FALSE)</f>
        <v>15</v>
      </c>
      <c r="L136" s="7">
        <f>原始值!E136+VLOOKUP($H136,怪物强度修正!$A$2:$R$17,COLUMN(L136)-9,FALSE)</f>
        <v>32</v>
      </c>
      <c r="M136" s="7">
        <f t="shared" si="17"/>
        <v>15</v>
      </c>
      <c r="N136" s="7">
        <f t="shared" si="18"/>
        <v>32</v>
      </c>
      <c r="O136" s="7">
        <f>原始值!H136+VLOOKUP($H136,怪物强度修正!$A$2:$R$17,COLUMN(O136)-9,FALSE)</f>
        <v>0</v>
      </c>
      <c r="P136" s="7">
        <f>原始值!I136+VLOOKUP($H136,怪物强度修正!$A$2:$R$17,COLUMN(P136)-9,FALSE)</f>
        <v>0</v>
      </c>
      <c r="Q136" s="7">
        <f>原始值!J136+VLOOKUP($H136,怪物强度修正!$A$2:$R$17,COLUMN(Q136)-9,FALSE)</f>
        <v>3</v>
      </c>
      <c r="R136" s="7">
        <f>原始值!K136+VLOOKUP($H136,怪物强度修正!$A$2:$R$17,COLUMN(R136)-9,FALSE)</f>
        <v>3</v>
      </c>
      <c r="S136" s="7">
        <f>原始值!L136+VLOOKUP($H136,怪物强度修正!$A$2:$R$17,COLUMN(S136)-9,FALSE)</f>
        <v>2</v>
      </c>
      <c r="T136" s="7">
        <f>原始值!M136+VLOOKUP($H136,怪物强度修正!$A$2:$R$17,COLUMN(T136)-9,FALSE)</f>
        <v>2</v>
      </c>
      <c r="U136" s="7">
        <f>原始值!N136+VLOOKUP($H136,怪物强度修正!$A$2:$R$17,COLUMN(U136)-9,FALSE)</f>
        <v>424</v>
      </c>
      <c r="V136" s="7">
        <v>1</v>
      </c>
      <c r="W136" s="7">
        <f>原始值!P136+VLOOKUP($H136,怪物强度修正!$A$2:$R$17,COLUMN(W136)-9,FALSE)</f>
        <v>13</v>
      </c>
      <c r="X136" s="7">
        <f>原始值!Q136+VLOOKUP($H136,怪物强度修正!$A$2:$R$17,COLUMN(X136)-9,FALSE)</f>
        <v>15</v>
      </c>
      <c r="Y136" s="7">
        <f>原始值!R136+VLOOKUP($H136,怪物强度修正!$A$2:$R$17,COLUMN(Y136)-9,FALSE)</f>
        <v>75</v>
      </c>
      <c r="Z136" s="7">
        <f>原始值!S136+VLOOKUP($H136,怪物强度修正!$A$2:$R$17,COLUMN(Z136)-9,FALSE)</f>
        <v>300</v>
      </c>
      <c r="AA136" s="7">
        <f>原始值!T136+VLOOKUP($H136,怪物强度修正!$A$2:$R$17,COLUMN(AA136)-9,FALSE)</f>
        <v>50</v>
      </c>
    </row>
    <row r="137" spans="1:27" s="7" customFormat="1">
      <c r="A137" s="7" t="str">
        <f t="shared" si="0"/>
        <v>PhyType.NewNpcType_314</v>
      </c>
      <c r="B137" s="7" t="s">
        <v>137</v>
      </c>
      <c r="C137" s="7">
        <v>314</v>
      </c>
      <c r="D137" s="6">
        <v>314</v>
      </c>
      <c r="E137" s="6"/>
      <c r="F137" s="6"/>
      <c r="G137" s="6" t="str">
        <f t="shared" si="30"/>
        <v>沃玛勇士头目</v>
      </c>
      <c r="H137" s="6" t="str">
        <f t="shared" si="31"/>
        <v>沃玛寺庙</v>
      </c>
      <c r="I137" s="6">
        <f t="shared" si="32"/>
        <v>475</v>
      </c>
      <c r="J137" s="6"/>
      <c r="K137" s="7">
        <f>原始值!D137+VLOOKUP($H137,怪物强度修正!$A$2:$R$17,COLUMN(K137)-9,FALSE)</f>
        <v>17</v>
      </c>
      <c r="L137" s="7">
        <f>原始值!E137+VLOOKUP($H137,怪物强度修正!$A$2:$R$17,COLUMN(L137)-9,FALSE)</f>
        <v>32</v>
      </c>
      <c r="M137" s="7">
        <f t="shared" si="17"/>
        <v>17</v>
      </c>
      <c r="N137" s="7">
        <f t="shared" si="18"/>
        <v>32</v>
      </c>
      <c r="O137" s="7">
        <f>原始值!H137+VLOOKUP($H137,怪物强度修正!$A$2:$R$17,COLUMN(O137)-9,FALSE)</f>
        <v>0</v>
      </c>
      <c r="P137" s="7">
        <f>原始值!I137+VLOOKUP($H137,怪物强度修正!$A$2:$R$17,COLUMN(P137)-9,FALSE)</f>
        <v>0</v>
      </c>
      <c r="Q137" s="7">
        <f>原始值!J137+VLOOKUP($H137,怪物强度修正!$A$2:$R$17,COLUMN(Q137)-9,FALSE)</f>
        <v>3</v>
      </c>
      <c r="R137" s="7">
        <f>原始值!K137+VLOOKUP($H137,怪物强度修正!$A$2:$R$17,COLUMN(R137)-9,FALSE)</f>
        <v>3</v>
      </c>
      <c r="S137" s="7">
        <f>原始值!L137+VLOOKUP($H137,怪物强度修正!$A$2:$R$17,COLUMN(S137)-9,FALSE)</f>
        <v>2</v>
      </c>
      <c r="T137" s="7">
        <f>原始值!M137+VLOOKUP($H137,怪物强度修正!$A$2:$R$17,COLUMN(T137)-9,FALSE)</f>
        <v>2</v>
      </c>
      <c r="U137" s="7">
        <f>原始值!N137+VLOOKUP($H137,怪物强度修正!$A$2:$R$17,COLUMN(U137)-9,FALSE)</f>
        <v>456</v>
      </c>
      <c r="V137" s="7">
        <v>1</v>
      </c>
      <c r="W137" s="7">
        <f>原始值!P137+VLOOKUP($H137,怪物强度修正!$A$2:$R$17,COLUMN(W137)-9,FALSE)</f>
        <v>13</v>
      </c>
      <c r="X137" s="7">
        <f>原始值!Q137+VLOOKUP($H137,怪物强度修正!$A$2:$R$17,COLUMN(X137)-9,FALSE)</f>
        <v>15</v>
      </c>
      <c r="Y137" s="7">
        <f>原始值!R137+VLOOKUP($H137,怪物强度修正!$A$2:$R$17,COLUMN(Y137)-9,FALSE)</f>
        <v>75</v>
      </c>
      <c r="Z137" s="7">
        <f>原始值!S137+VLOOKUP($H137,怪物强度修正!$A$2:$R$17,COLUMN(Z137)-9,FALSE)</f>
        <v>300</v>
      </c>
      <c r="AA137" s="7">
        <f>原始值!T137+VLOOKUP($H137,怪物强度修正!$A$2:$R$17,COLUMN(AA137)-9,FALSE)</f>
        <v>50</v>
      </c>
    </row>
    <row r="138" spans="1:27" s="7" customFormat="1">
      <c r="A138" s="7" t="str">
        <f t="shared" si="0"/>
        <v>PhyType.NewNpcType_315</v>
      </c>
      <c r="B138" s="7" t="s">
        <v>137</v>
      </c>
      <c r="C138" s="7">
        <v>315</v>
      </c>
      <c r="D138" s="6">
        <v>315</v>
      </c>
      <c r="E138" s="6"/>
      <c r="F138" s="6"/>
      <c r="G138" s="6" t="str">
        <f t="shared" si="30"/>
        <v>沃玛战将头目</v>
      </c>
      <c r="H138" s="6" t="str">
        <f t="shared" si="31"/>
        <v>沃玛寺庙</v>
      </c>
      <c r="I138" s="6">
        <f t="shared" si="32"/>
        <v>475</v>
      </c>
      <c r="J138" s="6"/>
      <c r="K138" s="7">
        <f>原始值!D138+VLOOKUP($H138,怪物强度修正!$A$2:$R$17,COLUMN(K138)-9,FALSE)</f>
        <v>16</v>
      </c>
      <c r="L138" s="7">
        <f>原始值!E138+VLOOKUP($H138,怪物强度修正!$A$2:$R$17,COLUMN(L138)-9,FALSE)</f>
        <v>33</v>
      </c>
      <c r="M138" s="7">
        <f t="shared" si="17"/>
        <v>16</v>
      </c>
      <c r="N138" s="7">
        <f t="shared" si="18"/>
        <v>33</v>
      </c>
      <c r="O138" s="7">
        <f>原始值!H138+VLOOKUP($H138,怪物强度修正!$A$2:$R$17,COLUMN(O138)-9,FALSE)</f>
        <v>0</v>
      </c>
      <c r="P138" s="7">
        <f>原始值!I138+VLOOKUP($H138,怪物强度修正!$A$2:$R$17,COLUMN(P138)-9,FALSE)</f>
        <v>0</v>
      </c>
      <c r="Q138" s="7">
        <f>原始值!J138+VLOOKUP($H138,怪物强度修正!$A$2:$R$17,COLUMN(Q138)-9,FALSE)</f>
        <v>3</v>
      </c>
      <c r="R138" s="7">
        <f>原始值!K138+VLOOKUP($H138,怪物强度修正!$A$2:$R$17,COLUMN(R138)-9,FALSE)</f>
        <v>3</v>
      </c>
      <c r="S138" s="7">
        <f>原始值!L138+VLOOKUP($H138,怪物强度修正!$A$2:$R$17,COLUMN(S138)-9,FALSE)</f>
        <v>2</v>
      </c>
      <c r="T138" s="7">
        <f>原始值!M138+VLOOKUP($H138,怪物强度修正!$A$2:$R$17,COLUMN(T138)-9,FALSE)</f>
        <v>2</v>
      </c>
      <c r="U138" s="7">
        <f>原始值!N138+VLOOKUP($H138,怪物强度修正!$A$2:$R$17,COLUMN(U138)-9,FALSE)</f>
        <v>456</v>
      </c>
      <c r="V138" s="7">
        <v>1</v>
      </c>
      <c r="W138" s="7">
        <f>原始值!P138+VLOOKUP($H138,怪物强度修正!$A$2:$R$17,COLUMN(W138)-9,FALSE)</f>
        <v>13</v>
      </c>
      <c r="X138" s="7">
        <f>原始值!Q138+VLOOKUP($H138,怪物强度修正!$A$2:$R$17,COLUMN(X138)-9,FALSE)</f>
        <v>15</v>
      </c>
      <c r="Y138" s="7">
        <f>原始值!R138+VLOOKUP($H138,怪物强度修正!$A$2:$R$17,COLUMN(Y138)-9,FALSE)</f>
        <v>75</v>
      </c>
      <c r="Z138" s="7">
        <f>原始值!S138+VLOOKUP($H138,怪物强度修正!$A$2:$R$17,COLUMN(Z138)-9,FALSE)</f>
        <v>300</v>
      </c>
      <c r="AA138" s="7">
        <f>原始值!T138+VLOOKUP($H138,怪物强度修正!$A$2:$R$17,COLUMN(AA138)-9,FALSE)</f>
        <v>50</v>
      </c>
    </row>
    <row r="139" spans="1:27" s="7" customFormat="1">
      <c r="A139" s="7" t="str">
        <f t="shared" si="0"/>
        <v>PhyType.NewNpcType_316</v>
      </c>
      <c r="B139" s="7" t="s">
        <v>137</v>
      </c>
      <c r="C139" s="7">
        <v>316</v>
      </c>
      <c r="D139" s="6">
        <v>316</v>
      </c>
      <c r="E139" s="6"/>
      <c r="F139" s="6"/>
      <c r="G139" s="6" t="str">
        <f t="shared" si="30"/>
        <v>火焰沃玛头目</v>
      </c>
      <c r="H139" s="6" t="str">
        <f t="shared" si="31"/>
        <v>沃玛寺庙</v>
      </c>
      <c r="I139" s="6">
        <f t="shared" si="32"/>
        <v>492</v>
      </c>
      <c r="J139" s="6"/>
      <c r="K139" s="7">
        <f>原始值!D139+VLOOKUP($H139,怪物强度修正!$A$2:$R$17,COLUMN(K139)-9,FALSE)</f>
        <v>15</v>
      </c>
      <c r="L139" s="7">
        <f>原始值!E139+VLOOKUP($H139,怪物强度修正!$A$2:$R$17,COLUMN(L139)-9,FALSE)</f>
        <v>29</v>
      </c>
      <c r="M139" s="7">
        <f t="shared" si="17"/>
        <v>15</v>
      </c>
      <c r="N139" s="7">
        <f t="shared" si="18"/>
        <v>29</v>
      </c>
      <c r="O139" s="7">
        <f>原始值!H139+VLOOKUP($H139,怪物强度修正!$A$2:$R$17,COLUMN(O139)-9,FALSE)</f>
        <v>0</v>
      </c>
      <c r="P139" s="7">
        <f>原始值!I139+VLOOKUP($H139,怪物强度修正!$A$2:$R$17,COLUMN(P139)-9,FALSE)</f>
        <v>0</v>
      </c>
      <c r="Q139" s="7">
        <f>原始值!J139+VLOOKUP($H139,怪物强度修正!$A$2:$R$17,COLUMN(Q139)-9,FALSE)</f>
        <v>0</v>
      </c>
      <c r="R139" s="7">
        <f>原始值!K139+VLOOKUP($H139,怪物强度修正!$A$2:$R$17,COLUMN(R139)-9,FALSE)</f>
        <v>0</v>
      </c>
      <c r="S139" s="7">
        <f>原始值!L139+VLOOKUP($H139,怪物强度修正!$A$2:$R$17,COLUMN(S139)-9,FALSE)</f>
        <v>0</v>
      </c>
      <c r="T139" s="7">
        <f>原始值!M139+VLOOKUP($H139,怪物强度修正!$A$2:$R$17,COLUMN(T139)-9,FALSE)</f>
        <v>0</v>
      </c>
      <c r="U139" s="7">
        <f>原始值!N139+VLOOKUP($H139,怪物强度修正!$A$2:$R$17,COLUMN(U139)-9,FALSE)</f>
        <v>544</v>
      </c>
      <c r="V139" s="7">
        <v>1</v>
      </c>
      <c r="W139" s="7">
        <f>原始值!P139+VLOOKUP($H139,怪物强度修正!$A$2:$R$17,COLUMN(W139)-9,FALSE)</f>
        <v>20</v>
      </c>
      <c r="X139" s="7">
        <f>原始值!Q139+VLOOKUP($H139,怪物强度修正!$A$2:$R$17,COLUMN(X139)-9,FALSE)</f>
        <v>20</v>
      </c>
      <c r="Y139" s="7">
        <f>原始值!R139+VLOOKUP($H139,怪物强度修正!$A$2:$R$17,COLUMN(Y139)-9,FALSE)</f>
        <v>75</v>
      </c>
      <c r="Z139" s="7">
        <f>原始值!S139+VLOOKUP($H139,怪物强度修正!$A$2:$R$17,COLUMN(Z139)-9,FALSE)</f>
        <v>300</v>
      </c>
      <c r="AA139" s="7">
        <f>原始值!T139+VLOOKUP($H139,怪物强度修正!$A$2:$R$17,COLUMN(AA139)-9,FALSE)</f>
        <v>50</v>
      </c>
    </row>
    <row r="140" spans="1:27" s="7" customFormat="1">
      <c r="A140" s="7" t="str">
        <f t="shared" si="0"/>
        <v>PhyType.NewNpcType_317</v>
      </c>
      <c r="B140" s="7" t="s">
        <v>137</v>
      </c>
      <c r="C140" s="7">
        <v>317</v>
      </c>
      <c r="D140" s="6">
        <v>317</v>
      </c>
      <c r="E140" s="6"/>
      <c r="F140" s="6"/>
      <c r="G140" s="6" t="str">
        <f t="shared" si="30"/>
        <v>盔甲虫头目</v>
      </c>
      <c r="H140" s="6" t="str">
        <f t="shared" si="31"/>
        <v>盟重</v>
      </c>
      <c r="I140" s="6">
        <f t="shared" si="32"/>
        <v>61</v>
      </c>
      <c r="J140" s="6"/>
      <c r="K140" s="7">
        <f>原始值!D140+VLOOKUP($H140,怪物强度修正!$A$2:$R$17,COLUMN(K140)-9,FALSE)</f>
        <v>5</v>
      </c>
      <c r="L140" s="7">
        <f>原始值!E140+VLOOKUP($H140,怪物强度修正!$A$2:$R$17,COLUMN(L140)-9,FALSE)</f>
        <v>12</v>
      </c>
      <c r="M140" s="7">
        <f t="shared" si="17"/>
        <v>5</v>
      </c>
      <c r="N140" s="7">
        <f t="shared" si="18"/>
        <v>12</v>
      </c>
      <c r="O140" s="7">
        <f>原始值!H140+VLOOKUP($H140,怪物强度修正!$A$2:$R$17,COLUMN(O140)-9,FALSE)</f>
        <v>0</v>
      </c>
      <c r="P140" s="7">
        <f>原始值!I140+VLOOKUP($H140,怪物强度修正!$A$2:$R$17,COLUMN(P140)-9,FALSE)</f>
        <v>0</v>
      </c>
      <c r="Q140" s="7">
        <f>原始值!J140+VLOOKUP($H140,怪物强度修正!$A$2:$R$17,COLUMN(Q140)-9,FALSE)</f>
        <v>0</v>
      </c>
      <c r="R140" s="7">
        <f>原始值!K140+VLOOKUP($H140,怪物强度修正!$A$2:$R$17,COLUMN(R140)-9,FALSE)</f>
        <v>0</v>
      </c>
      <c r="S140" s="7">
        <f>原始值!L140+VLOOKUP($H140,怪物强度修正!$A$2:$R$17,COLUMN(S140)-9,FALSE)</f>
        <v>0</v>
      </c>
      <c r="T140" s="7">
        <f>原始值!M140+VLOOKUP($H140,怪物强度修正!$A$2:$R$17,COLUMN(T140)-9,FALSE)</f>
        <v>0</v>
      </c>
      <c r="U140" s="7">
        <f>原始值!N140+VLOOKUP($H140,怪物强度修正!$A$2:$R$17,COLUMN(U140)-9,FALSE)</f>
        <v>80</v>
      </c>
      <c r="V140" s="7">
        <v>1</v>
      </c>
      <c r="W140" s="7">
        <f>原始值!P140+VLOOKUP($H140,怪物强度修正!$A$2:$R$17,COLUMN(W140)-9,FALSE)</f>
        <v>7</v>
      </c>
      <c r="X140" s="7">
        <f>原始值!Q140+VLOOKUP($H140,怪物强度修正!$A$2:$R$17,COLUMN(X140)-9,FALSE)</f>
        <v>12</v>
      </c>
      <c r="Y140" s="7">
        <f>原始值!R140+VLOOKUP($H140,怪物强度修正!$A$2:$R$17,COLUMN(Y140)-9,FALSE)</f>
        <v>75</v>
      </c>
      <c r="Z140" s="7">
        <f>原始值!S140+VLOOKUP($H140,怪物强度修正!$A$2:$R$17,COLUMN(Z140)-9,FALSE)</f>
        <v>300</v>
      </c>
      <c r="AA140" s="7">
        <f>原始值!T140+VLOOKUP($H140,怪物强度修正!$A$2:$R$17,COLUMN(AA140)-9,FALSE)</f>
        <v>50</v>
      </c>
    </row>
    <row r="141" spans="1:27" s="7" customFormat="1">
      <c r="A141" s="7" t="str">
        <f t="shared" ref="A141" si="33">"PhyType.NewNpcType_"&amp;D141</f>
        <v>PhyType.NewNpcType_338</v>
      </c>
      <c r="B141" s="7" t="s">
        <v>137</v>
      </c>
      <c r="C141" s="7">
        <v>338</v>
      </c>
      <c r="D141" s="6">
        <v>338</v>
      </c>
      <c r="E141" s="6"/>
      <c r="F141" s="6"/>
      <c r="G141" s="6" t="str">
        <f t="shared" si="30"/>
        <v>熊头目</v>
      </c>
      <c r="H141" s="6" t="str">
        <f t="shared" si="31"/>
        <v>盟重</v>
      </c>
      <c r="I141" s="6">
        <f t="shared" si="32"/>
        <v>58</v>
      </c>
      <c r="J141" s="6"/>
      <c r="K141" s="7">
        <f>原始值!D141+VLOOKUP($H141,怪物强度修正!$A$2:$R$17,COLUMN(K141)-9,FALSE)</f>
        <v>6</v>
      </c>
      <c r="L141" s="7">
        <f>原始值!E141+VLOOKUP($H141,怪物强度修正!$A$2:$R$17,COLUMN(L141)-9,FALSE)</f>
        <v>10</v>
      </c>
      <c r="M141" s="7">
        <f t="shared" si="17"/>
        <v>6</v>
      </c>
      <c r="N141" s="7">
        <f t="shared" si="18"/>
        <v>10</v>
      </c>
      <c r="O141" s="7">
        <f>原始值!H141+VLOOKUP($H141,怪物强度修正!$A$2:$R$17,COLUMN(O141)-9,FALSE)</f>
        <v>0</v>
      </c>
      <c r="P141" s="7">
        <f>原始值!I141+VLOOKUP($H141,怪物强度修正!$A$2:$R$17,COLUMN(P141)-9,FALSE)</f>
        <v>0</v>
      </c>
      <c r="Q141" s="7">
        <f>原始值!J141+VLOOKUP($H141,怪物强度修正!$A$2:$R$17,COLUMN(Q141)-9,FALSE)</f>
        <v>0</v>
      </c>
      <c r="R141" s="7">
        <f>原始值!K141+VLOOKUP($H141,怪物强度修正!$A$2:$R$17,COLUMN(R141)-9,FALSE)</f>
        <v>0</v>
      </c>
      <c r="S141" s="7">
        <f>原始值!L141+VLOOKUP($H141,怪物强度修正!$A$2:$R$17,COLUMN(S141)-9,FALSE)</f>
        <v>0</v>
      </c>
      <c r="T141" s="7">
        <f>原始值!M141+VLOOKUP($H141,怪物强度修正!$A$2:$R$17,COLUMN(T141)-9,FALSE)</f>
        <v>0</v>
      </c>
      <c r="U141" s="7">
        <f>原始值!N141+VLOOKUP($H141,怪物强度修正!$A$2:$R$17,COLUMN(U141)-9,FALSE)</f>
        <v>74</v>
      </c>
      <c r="V141" s="7">
        <v>1</v>
      </c>
      <c r="W141" s="7">
        <f>原始值!P141+VLOOKUP($H141,怪物强度修正!$A$2:$R$17,COLUMN(W141)-9,FALSE)</f>
        <v>10</v>
      </c>
      <c r="X141" s="7">
        <f>原始值!Q141+VLOOKUP($H141,怪物强度修正!$A$2:$R$17,COLUMN(X141)-9,FALSE)</f>
        <v>12</v>
      </c>
      <c r="Y141" s="7">
        <f>原始值!R141+VLOOKUP($H141,怪物强度修正!$A$2:$R$17,COLUMN(Y141)-9,FALSE)</f>
        <v>75</v>
      </c>
      <c r="Z141" s="7">
        <f>原始值!S141+VLOOKUP($H141,怪物强度修正!$A$2:$R$17,COLUMN(Z141)-9,FALSE)</f>
        <v>300</v>
      </c>
      <c r="AA141" s="7">
        <f>原始值!T141+VLOOKUP($H141,怪物强度修正!$A$2:$R$17,COLUMN(AA141)-9,FALSE)</f>
        <v>50</v>
      </c>
    </row>
    <row r="142" spans="1:27" s="7" customFormat="1">
      <c r="A142" s="7" t="str">
        <f t="shared" si="0"/>
        <v>PhyType.NewNpcType_318</v>
      </c>
      <c r="B142" s="7" t="s">
        <v>137</v>
      </c>
      <c r="C142" s="7">
        <v>318</v>
      </c>
      <c r="D142" s="6">
        <v>318</v>
      </c>
      <c r="E142" s="6"/>
      <c r="F142" s="6"/>
      <c r="G142" s="6" t="str">
        <f t="shared" si="30"/>
        <v>狼头目</v>
      </c>
      <c r="H142" s="6" t="str">
        <f t="shared" si="31"/>
        <v>盟重</v>
      </c>
      <c r="I142" s="6">
        <f t="shared" si="32"/>
        <v>58</v>
      </c>
      <c r="J142" s="6"/>
      <c r="K142" s="7">
        <f>原始值!D142+VLOOKUP($H142,怪物强度修正!$A$2:$R$17,COLUMN(K142)-9,FALSE)</f>
        <v>7</v>
      </c>
      <c r="L142" s="7">
        <f>原始值!E142+VLOOKUP($H142,怪物强度修正!$A$2:$R$17,COLUMN(L142)-9,FALSE)</f>
        <v>11</v>
      </c>
      <c r="M142" s="7">
        <f t="shared" si="17"/>
        <v>7</v>
      </c>
      <c r="N142" s="7">
        <f t="shared" si="18"/>
        <v>11</v>
      </c>
      <c r="O142" s="7">
        <f>原始值!H142+VLOOKUP($H142,怪物强度修正!$A$2:$R$17,COLUMN(O142)-9,FALSE)</f>
        <v>0</v>
      </c>
      <c r="P142" s="7">
        <f>原始值!I142+VLOOKUP($H142,怪物强度修正!$A$2:$R$17,COLUMN(P142)-9,FALSE)</f>
        <v>0</v>
      </c>
      <c r="Q142" s="7">
        <f>原始值!J142+VLOOKUP($H142,怪物强度修正!$A$2:$R$17,COLUMN(Q142)-9,FALSE)</f>
        <v>0</v>
      </c>
      <c r="R142" s="7">
        <f>原始值!K142+VLOOKUP($H142,怪物强度修正!$A$2:$R$17,COLUMN(R142)-9,FALSE)</f>
        <v>0</v>
      </c>
      <c r="S142" s="7">
        <f>原始值!L142+VLOOKUP($H142,怪物强度修正!$A$2:$R$17,COLUMN(S142)-9,FALSE)</f>
        <v>0</v>
      </c>
      <c r="T142" s="7">
        <f>原始值!M142+VLOOKUP($H142,怪物强度修正!$A$2:$R$17,COLUMN(T142)-9,FALSE)</f>
        <v>0</v>
      </c>
      <c r="U142" s="7">
        <f>原始值!N142+VLOOKUP($H142,怪物强度修正!$A$2:$R$17,COLUMN(U142)-9,FALSE)</f>
        <v>59</v>
      </c>
      <c r="V142" s="7">
        <v>1</v>
      </c>
      <c r="W142" s="7">
        <f>原始值!P142+VLOOKUP($H142,怪物强度修正!$A$2:$R$17,COLUMN(W142)-9,FALSE)</f>
        <v>10</v>
      </c>
      <c r="X142" s="7">
        <f>原始值!Q142+VLOOKUP($H142,怪物强度修正!$A$2:$R$17,COLUMN(X142)-9,FALSE)</f>
        <v>13</v>
      </c>
      <c r="Y142" s="7">
        <f>原始值!R142+VLOOKUP($H142,怪物强度修正!$A$2:$R$17,COLUMN(Y142)-9,FALSE)</f>
        <v>75</v>
      </c>
      <c r="Z142" s="7">
        <f>原始值!S142+VLOOKUP($H142,怪物强度修正!$A$2:$R$17,COLUMN(Z142)-9,FALSE)</f>
        <v>300</v>
      </c>
      <c r="AA142" s="7">
        <f>原始值!T142+VLOOKUP($H142,怪物强度修正!$A$2:$R$17,COLUMN(AA142)-9,FALSE)</f>
        <v>50</v>
      </c>
    </row>
    <row r="143" spans="1:27" s="7" customFormat="1">
      <c r="A143" s="7" t="str">
        <f t="shared" si="0"/>
        <v>PhyType.NewNpcType_319</v>
      </c>
      <c r="B143" s="7" t="s">
        <v>137</v>
      </c>
      <c r="C143" s="7">
        <v>319</v>
      </c>
      <c r="D143" s="6">
        <v>319</v>
      </c>
      <c r="E143" s="6"/>
      <c r="F143" s="6"/>
      <c r="G143" s="6" t="str">
        <f t="shared" si="30"/>
        <v>多角虫头目</v>
      </c>
      <c r="H143" s="6" t="str">
        <f t="shared" si="31"/>
        <v>盟重</v>
      </c>
      <c r="I143" s="6">
        <f t="shared" si="32"/>
        <v>53</v>
      </c>
      <c r="J143" s="6"/>
      <c r="K143" s="7">
        <f>原始值!D143+VLOOKUP($H143,怪物强度修正!$A$2:$R$17,COLUMN(K143)-9,FALSE)</f>
        <v>8</v>
      </c>
      <c r="L143" s="7">
        <f>原始值!E143+VLOOKUP($H143,怪物强度修正!$A$2:$R$17,COLUMN(L143)-9,FALSE)</f>
        <v>10</v>
      </c>
      <c r="M143" s="7">
        <f t="shared" si="17"/>
        <v>8</v>
      </c>
      <c r="N143" s="7">
        <f t="shared" si="18"/>
        <v>10</v>
      </c>
      <c r="O143" s="7">
        <f>原始值!H143+VLOOKUP($H143,怪物强度修正!$A$2:$R$17,COLUMN(O143)-9,FALSE)</f>
        <v>0</v>
      </c>
      <c r="P143" s="7">
        <f>原始值!I143+VLOOKUP($H143,怪物强度修正!$A$2:$R$17,COLUMN(P143)-9,FALSE)</f>
        <v>0</v>
      </c>
      <c r="Q143" s="7">
        <f>原始值!J143+VLOOKUP($H143,怪物强度修正!$A$2:$R$17,COLUMN(Q143)-9,FALSE)</f>
        <v>0</v>
      </c>
      <c r="R143" s="7">
        <f>原始值!K143+VLOOKUP($H143,怪物强度修正!$A$2:$R$17,COLUMN(R143)-9,FALSE)</f>
        <v>0</v>
      </c>
      <c r="S143" s="7">
        <f>原始值!L143+VLOOKUP($H143,怪物强度修正!$A$2:$R$17,COLUMN(S143)-9,FALSE)</f>
        <v>0</v>
      </c>
      <c r="T143" s="7">
        <f>原始值!M143+VLOOKUP($H143,怪物强度修正!$A$2:$R$17,COLUMN(T143)-9,FALSE)</f>
        <v>0</v>
      </c>
      <c r="U143" s="7">
        <f>原始值!N143+VLOOKUP($H143,怪物强度修正!$A$2:$R$17,COLUMN(U143)-9,FALSE)</f>
        <v>83</v>
      </c>
      <c r="V143" s="7">
        <v>1</v>
      </c>
      <c r="W143" s="7">
        <f>原始值!P143+VLOOKUP($H143,怪物强度修正!$A$2:$R$17,COLUMN(W143)-9,FALSE)</f>
        <v>10</v>
      </c>
      <c r="X143" s="7">
        <f>原始值!Q143+VLOOKUP($H143,怪物强度修正!$A$2:$R$17,COLUMN(X143)-9,FALSE)</f>
        <v>13</v>
      </c>
      <c r="Y143" s="7">
        <f>原始值!R143+VLOOKUP($H143,怪物强度修正!$A$2:$R$17,COLUMN(Y143)-9,FALSE)</f>
        <v>75</v>
      </c>
      <c r="Z143" s="7">
        <f>原始值!S143+VLOOKUP($H143,怪物强度修正!$A$2:$R$17,COLUMN(Z143)-9,FALSE)</f>
        <v>300</v>
      </c>
      <c r="AA143" s="7">
        <f>原始值!T143+VLOOKUP($H143,怪物强度修正!$A$2:$R$17,COLUMN(AA143)-9,FALSE)</f>
        <v>50</v>
      </c>
    </row>
    <row r="144" spans="1:27" s="7" customFormat="1">
      <c r="A144" s="7" t="str">
        <f t="shared" si="0"/>
        <v>PhyType.NewNpcType_320</v>
      </c>
      <c r="B144" s="7" t="s">
        <v>137</v>
      </c>
      <c r="C144" s="7">
        <v>320</v>
      </c>
      <c r="D144" s="6">
        <v>320</v>
      </c>
      <c r="E144" s="6"/>
      <c r="F144" s="6"/>
      <c r="G144" s="6" t="str">
        <f t="shared" si="30"/>
        <v>蜈蚣头目</v>
      </c>
      <c r="H144" s="6" t="str">
        <f t="shared" si="31"/>
        <v>死亡峡谷</v>
      </c>
      <c r="I144" s="6">
        <f t="shared" si="32"/>
        <v>390</v>
      </c>
      <c r="J144" s="6"/>
      <c r="K144" s="7">
        <f>原始值!D144+VLOOKUP($H144,怪物强度修正!$A$2:$R$17,COLUMN(K144)-9,FALSE)</f>
        <v>17</v>
      </c>
      <c r="L144" s="7">
        <f>原始值!E144+VLOOKUP($H144,怪物强度修正!$A$2:$R$17,COLUMN(L144)-9,FALSE)</f>
        <v>25</v>
      </c>
      <c r="M144" s="7">
        <f t="shared" si="17"/>
        <v>17</v>
      </c>
      <c r="N144" s="7">
        <f t="shared" si="18"/>
        <v>25</v>
      </c>
      <c r="O144" s="7">
        <f>原始值!H144+VLOOKUP($H144,怪物强度修正!$A$2:$R$17,COLUMN(O144)-9,FALSE)</f>
        <v>0</v>
      </c>
      <c r="P144" s="7">
        <f>原始值!I144+VLOOKUP($H144,怪物强度修正!$A$2:$R$17,COLUMN(P144)-9,FALSE)</f>
        <v>0</v>
      </c>
      <c r="Q144" s="7">
        <f>原始值!J144+VLOOKUP($H144,怪物强度修正!$A$2:$R$17,COLUMN(Q144)-9,FALSE)</f>
        <v>1</v>
      </c>
      <c r="R144" s="7">
        <f>原始值!K144+VLOOKUP($H144,怪物强度修正!$A$2:$R$17,COLUMN(R144)-9,FALSE)</f>
        <v>1</v>
      </c>
      <c r="S144" s="7">
        <f>原始值!L144+VLOOKUP($H144,怪物强度修正!$A$2:$R$17,COLUMN(S144)-9,FALSE)</f>
        <v>7</v>
      </c>
      <c r="T144" s="7">
        <f>原始值!M144+VLOOKUP($H144,怪物强度修正!$A$2:$R$17,COLUMN(T144)-9,FALSE)</f>
        <v>7</v>
      </c>
      <c r="U144" s="7">
        <f>原始值!N144+VLOOKUP($H144,怪物强度修正!$A$2:$R$17,COLUMN(U144)-9,FALSE)</f>
        <v>370</v>
      </c>
      <c r="V144" s="7">
        <v>1</v>
      </c>
      <c r="W144" s="7">
        <f>原始值!P144+VLOOKUP($H144,怪物强度修正!$A$2:$R$17,COLUMN(W144)-9,FALSE)</f>
        <v>13</v>
      </c>
      <c r="X144" s="7">
        <f>原始值!Q144+VLOOKUP($H144,怪物强度修正!$A$2:$R$17,COLUMN(X144)-9,FALSE)</f>
        <v>15</v>
      </c>
      <c r="Y144" s="7">
        <f>原始值!R144+VLOOKUP($H144,怪物强度修正!$A$2:$R$17,COLUMN(Y144)-9,FALSE)</f>
        <v>75</v>
      </c>
      <c r="Z144" s="7">
        <f>原始值!S144+VLOOKUP($H144,怪物强度修正!$A$2:$R$17,COLUMN(Z144)-9,FALSE)</f>
        <v>300</v>
      </c>
      <c r="AA144" s="7">
        <f>原始值!T144+VLOOKUP($H144,怪物强度修正!$A$2:$R$17,COLUMN(AA144)-9,FALSE)</f>
        <v>50</v>
      </c>
    </row>
    <row r="145" spans="1:27" s="7" customFormat="1">
      <c r="A145" s="7" t="str">
        <f t="shared" ref="A145:A293" si="34">"PhyType.NewNpcType_"&amp;D145</f>
        <v>PhyType.NewNpcType_321</v>
      </c>
      <c r="B145" s="7" t="s">
        <v>137</v>
      </c>
      <c r="C145" s="7">
        <v>321</v>
      </c>
      <c r="D145" s="6">
        <v>321</v>
      </c>
      <c r="E145" s="6"/>
      <c r="F145" s="6"/>
      <c r="G145" s="6" t="str">
        <f t="shared" si="30"/>
        <v>巨型蠕虫头目</v>
      </c>
      <c r="H145" s="6" t="str">
        <f t="shared" si="31"/>
        <v>死亡峡谷</v>
      </c>
      <c r="I145" s="6">
        <f t="shared" si="32"/>
        <v>390</v>
      </c>
      <c r="J145" s="6"/>
      <c r="K145" s="7">
        <f>原始值!D145+VLOOKUP($H145,怪物强度修正!$A$2:$R$17,COLUMN(K145)-9,FALSE)</f>
        <v>21</v>
      </c>
      <c r="L145" s="7">
        <f>原始值!E145+VLOOKUP($H145,怪物强度修正!$A$2:$R$17,COLUMN(L145)-9,FALSE)</f>
        <v>25</v>
      </c>
      <c r="M145" s="7">
        <f t="shared" si="17"/>
        <v>21</v>
      </c>
      <c r="N145" s="7">
        <f t="shared" si="18"/>
        <v>25</v>
      </c>
      <c r="O145" s="7">
        <f>原始值!H145+VLOOKUP($H145,怪物强度修正!$A$2:$R$17,COLUMN(O145)-9,FALSE)</f>
        <v>0</v>
      </c>
      <c r="P145" s="7">
        <f>原始值!I145+VLOOKUP($H145,怪物强度修正!$A$2:$R$17,COLUMN(P145)-9,FALSE)</f>
        <v>0</v>
      </c>
      <c r="Q145" s="7">
        <f>原始值!J145+VLOOKUP($H145,怪物强度修正!$A$2:$R$17,COLUMN(Q145)-9,FALSE)</f>
        <v>4</v>
      </c>
      <c r="R145" s="7">
        <f>原始值!K145+VLOOKUP($H145,怪物强度修正!$A$2:$R$17,COLUMN(R145)-9,FALSE)</f>
        <v>4</v>
      </c>
      <c r="S145" s="7">
        <f>原始值!L145+VLOOKUP($H145,怪物强度修正!$A$2:$R$17,COLUMN(S145)-9,FALSE)</f>
        <v>5</v>
      </c>
      <c r="T145" s="7">
        <f>原始值!M145+VLOOKUP($H145,怪物强度修正!$A$2:$R$17,COLUMN(T145)-9,FALSE)</f>
        <v>5</v>
      </c>
      <c r="U145" s="7">
        <f>原始值!N145+VLOOKUP($H145,怪物强度修正!$A$2:$R$17,COLUMN(U145)-9,FALSE)</f>
        <v>320</v>
      </c>
      <c r="V145" s="7">
        <v>1</v>
      </c>
      <c r="W145" s="7">
        <f>原始值!P145+VLOOKUP($H145,怪物强度修正!$A$2:$R$17,COLUMN(W145)-9,FALSE)</f>
        <v>13</v>
      </c>
      <c r="X145" s="7">
        <f>原始值!Q145+VLOOKUP($H145,怪物强度修正!$A$2:$R$17,COLUMN(X145)-9,FALSE)</f>
        <v>15</v>
      </c>
      <c r="Y145" s="7">
        <f>原始值!R145+VLOOKUP($H145,怪物强度修正!$A$2:$R$17,COLUMN(Y145)-9,FALSE)</f>
        <v>75</v>
      </c>
      <c r="Z145" s="7">
        <f>原始值!S145+VLOOKUP($H145,怪物强度修正!$A$2:$R$17,COLUMN(Z145)-9,FALSE)</f>
        <v>300</v>
      </c>
      <c r="AA145" s="7">
        <f>原始值!T145+VLOOKUP($H145,怪物强度修正!$A$2:$R$17,COLUMN(AA145)-9,FALSE)</f>
        <v>50</v>
      </c>
    </row>
    <row r="146" spans="1:27" s="7" customFormat="1">
      <c r="A146" s="7" t="str">
        <f t="shared" si="34"/>
        <v>PhyType.NewNpcType_322</v>
      </c>
      <c r="B146" s="7" t="s">
        <v>137</v>
      </c>
      <c r="C146" s="7">
        <v>322</v>
      </c>
      <c r="D146" s="6">
        <v>322</v>
      </c>
      <c r="E146" s="6"/>
      <c r="F146" s="6"/>
      <c r="G146" s="6" t="str">
        <f t="shared" si="30"/>
        <v>钳虫头目</v>
      </c>
      <c r="H146" s="6" t="str">
        <f t="shared" si="31"/>
        <v>死亡峡谷</v>
      </c>
      <c r="I146" s="6">
        <f t="shared" si="32"/>
        <v>424</v>
      </c>
      <c r="J146" s="6"/>
      <c r="K146" s="7">
        <f>原始值!D146+VLOOKUP($H146,怪物强度修正!$A$2:$R$17,COLUMN(K146)-9,FALSE)</f>
        <v>21</v>
      </c>
      <c r="L146" s="7">
        <f>原始值!E146+VLOOKUP($H146,怪物强度修正!$A$2:$R$17,COLUMN(L146)-9,FALSE)</f>
        <v>33</v>
      </c>
      <c r="M146" s="7">
        <f t="shared" si="17"/>
        <v>21</v>
      </c>
      <c r="N146" s="7">
        <f t="shared" si="18"/>
        <v>33</v>
      </c>
      <c r="O146" s="7">
        <f>原始值!H146+VLOOKUP($H146,怪物强度修正!$A$2:$R$17,COLUMN(O146)-9,FALSE)</f>
        <v>0</v>
      </c>
      <c r="P146" s="7">
        <f>原始值!I146+VLOOKUP($H146,怪物强度修正!$A$2:$R$17,COLUMN(P146)-9,FALSE)</f>
        <v>0</v>
      </c>
      <c r="Q146" s="7">
        <f>原始值!J146+VLOOKUP($H146,怪物强度修正!$A$2:$R$17,COLUMN(Q146)-9,FALSE)</f>
        <v>6</v>
      </c>
      <c r="R146" s="7">
        <f>原始值!K146+VLOOKUP($H146,怪物强度修正!$A$2:$R$17,COLUMN(R146)-9,FALSE)</f>
        <v>6</v>
      </c>
      <c r="S146" s="7">
        <f>原始值!L146+VLOOKUP($H146,怪物强度修正!$A$2:$R$17,COLUMN(S146)-9,FALSE)</f>
        <v>9</v>
      </c>
      <c r="T146" s="7">
        <f>原始值!M146+VLOOKUP($H146,怪物强度修正!$A$2:$R$17,COLUMN(T146)-9,FALSE)</f>
        <v>9</v>
      </c>
      <c r="U146" s="7">
        <f>原始值!N146+VLOOKUP($H146,怪物强度修正!$A$2:$R$17,COLUMN(U146)-9,FALSE)</f>
        <v>430</v>
      </c>
      <c r="V146" s="7">
        <v>1</v>
      </c>
      <c r="W146" s="7">
        <f>原始值!P146+VLOOKUP($H146,怪物强度修正!$A$2:$R$17,COLUMN(W146)-9,FALSE)</f>
        <v>13</v>
      </c>
      <c r="X146" s="7">
        <f>原始值!Q146+VLOOKUP($H146,怪物强度修正!$A$2:$R$17,COLUMN(X146)-9,FALSE)</f>
        <v>15</v>
      </c>
      <c r="Y146" s="7">
        <f>原始值!R146+VLOOKUP($H146,怪物强度修正!$A$2:$R$17,COLUMN(Y146)-9,FALSE)</f>
        <v>75</v>
      </c>
      <c r="Z146" s="7">
        <f>原始值!S146+VLOOKUP($H146,怪物强度修正!$A$2:$R$17,COLUMN(Z146)-9,FALSE)</f>
        <v>300</v>
      </c>
      <c r="AA146" s="7">
        <f>原始值!T146+VLOOKUP($H146,怪物强度修正!$A$2:$R$17,COLUMN(AA146)-9,FALSE)</f>
        <v>50</v>
      </c>
    </row>
    <row r="147" spans="1:27" s="7" customFormat="1">
      <c r="A147" s="7" t="str">
        <f t="shared" si="34"/>
        <v>PhyType.NewNpcType_323</v>
      </c>
      <c r="B147" s="7" t="s">
        <v>137</v>
      </c>
      <c r="C147" s="7">
        <v>323</v>
      </c>
      <c r="D147" s="6">
        <v>323</v>
      </c>
      <c r="E147" s="6"/>
      <c r="F147" s="6"/>
      <c r="G147" s="6" t="str">
        <f t="shared" si="30"/>
        <v>跳跳蜂头目</v>
      </c>
      <c r="H147" s="6" t="str">
        <f t="shared" si="31"/>
        <v>死亡峡谷</v>
      </c>
      <c r="I147" s="6">
        <f t="shared" si="32"/>
        <v>356</v>
      </c>
      <c r="J147" s="6"/>
      <c r="K147" s="7">
        <f>原始值!D147+VLOOKUP($H147,怪物强度修正!$A$2:$R$17,COLUMN(K147)-9,FALSE)</f>
        <v>17</v>
      </c>
      <c r="L147" s="7">
        <f>原始值!E147+VLOOKUP($H147,怪物强度修正!$A$2:$R$17,COLUMN(L147)-9,FALSE)</f>
        <v>25</v>
      </c>
      <c r="M147" s="7">
        <f t="shared" si="17"/>
        <v>17</v>
      </c>
      <c r="N147" s="7">
        <f t="shared" si="18"/>
        <v>25</v>
      </c>
      <c r="O147" s="7">
        <f>原始值!H147+VLOOKUP($H147,怪物强度修正!$A$2:$R$17,COLUMN(O147)-9,FALSE)</f>
        <v>0</v>
      </c>
      <c r="P147" s="7">
        <f>原始值!I147+VLOOKUP($H147,怪物强度修正!$A$2:$R$17,COLUMN(P147)-9,FALSE)</f>
        <v>0</v>
      </c>
      <c r="Q147" s="7">
        <f>原始值!J147+VLOOKUP($H147,怪物强度修正!$A$2:$R$17,COLUMN(Q147)-9,FALSE)</f>
        <v>4</v>
      </c>
      <c r="R147" s="7">
        <f>原始值!K147+VLOOKUP($H147,怪物强度修正!$A$2:$R$17,COLUMN(R147)-9,FALSE)</f>
        <v>4</v>
      </c>
      <c r="S147" s="7">
        <f>原始值!L147+VLOOKUP($H147,怪物强度修正!$A$2:$R$17,COLUMN(S147)-9,FALSE)</f>
        <v>5</v>
      </c>
      <c r="T147" s="7">
        <f>原始值!M147+VLOOKUP($H147,怪物强度修正!$A$2:$R$17,COLUMN(T147)-9,FALSE)</f>
        <v>5</v>
      </c>
      <c r="U147" s="7">
        <f>原始值!N147+VLOOKUP($H147,怪物强度修正!$A$2:$R$17,COLUMN(U147)-9,FALSE)</f>
        <v>320</v>
      </c>
      <c r="V147" s="7">
        <v>1</v>
      </c>
      <c r="W147" s="7">
        <f>原始值!P147+VLOOKUP($H147,怪物强度修正!$A$2:$R$17,COLUMN(W147)-9,FALSE)</f>
        <v>13</v>
      </c>
      <c r="X147" s="7">
        <f>原始值!Q147+VLOOKUP($H147,怪物强度修正!$A$2:$R$17,COLUMN(X147)-9,FALSE)</f>
        <v>15</v>
      </c>
      <c r="Y147" s="7">
        <f>原始值!R147+VLOOKUP($H147,怪物强度修正!$A$2:$R$17,COLUMN(Y147)-9,FALSE)</f>
        <v>75</v>
      </c>
      <c r="Z147" s="7">
        <f>原始值!S147+VLOOKUP($H147,怪物强度修正!$A$2:$R$17,COLUMN(Z147)-9,FALSE)</f>
        <v>300</v>
      </c>
      <c r="AA147" s="7">
        <f>原始值!T147+VLOOKUP($H147,怪物强度修正!$A$2:$R$17,COLUMN(AA147)-9,FALSE)</f>
        <v>50</v>
      </c>
    </row>
    <row r="148" spans="1:27" s="7" customFormat="1">
      <c r="A148" s="7" t="str">
        <f t="shared" si="34"/>
        <v>PhyType.NewNpcType_324</v>
      </c>
      <c r="B148" s="7" t="s">
        <v>137</v>
      </c>
      <c r="C148" s="7">
        <v>324</v>
      </c>
      <c r="D148" s="6">
        <v>324</v>
      </c>
      <c r="E148" s="6"/>
      <c r="F148" s="6"/>
      <c r="G148" s="6" t="str">
        <f t="shared" si="30"/>
        <v>恶蛆头目</v>
      </c>
      <c r="H148" s="6" t="str">
        <f t="shared" si="31"/>
        <v>石墓</v>
      </c>
      <c r="I148" s="6">
        <f t="shared" si="32"/>
        <v>305</v>
      </c>
      <c r="J148" s="6"/>
      <c r="K148" s="7">
        <f>原始值!D148+VLOOKUP($H148,怪物强度修正!$A$2:$R$17,COLUMN(K148)-9,FALSE)</f>
        <v>15</v>
      </c>
      <c r="L148" s="7">
        <f>原始值!E148+VLOOKUP($H148,怪物强度修正!$A$2:$R$17,COLUMN(L148)-9,FALSE)</f>
        <v>21</v>
      </c>
      <c r="M148" s="7">
        <f t="shared" si="17"/>
        <v>15</v>
      </c>
      <c r="N148" s="7">
        <f t="shared" si="18"/>
        <v>21</v>
      </c>
      <c r="O148" s="7">
        <f>原始值!H148+VLOOKUP($H148,怪物强度修正!$A$2:$R$17,COLUMN(O148)-9,FALSE)</f>
        <v>0</v>
      </c>
      <c r="P148" s="7">
        <f>原始值!I148+VLOOKUP($H148,怪物强度修正!$A$2:$R$17,COLUMN(P148)-9,FALSE)</f>
        <v>0</v>
      </c>
      <c r="Q148" s="7">
        <f>原始值!J148+VLOOKUP($H148,怪物强度修正!$A$2:$R$17,COLUMN(Q148)-9,FALSE)</f>
        <v>6</v>
      </c>
      <c r="R148" s="7">
        <f>原始值!K148+VLOOKUP($H148,怪物强度修正!$A$2:$R$17,COLUMN(R148)-9,FALSE)</f>
        <v>6</v>
      </c>
      <c r="S148" s="7">
        <f>原始值!L148+VLOOKUP($H148,怪物强度修正!$A$2:$R$17,COLUMN(S148)-9,FALSE)</f>
        <v>2</v>
      </c>
      <c r="T148" s="7">
        <f>原始值!M148+VLOOKUP($H148,怪物强度修正!$A$2:$R$17,COLUMN(T148)-9,FALSE)</f>
        <v>2</v>
      </c>
      <c r="U148" s="7">
        <f>原始值!N148+VLOOKUP($H148,怪物强度修正!$A$2:$R$17,COLUMN(U148)-9,FALSE)</f>
        <v>370</v>
      </c>
      <c r="V148" s="7">
        <v>1</v>
      </c>
      <c r="W148" s="7">
        <f>原始值!P148+VLOOKUP($H148,怪物强度修正!$A$2:$R$17,COLUMN(W148)-9,FALSE)</f>
        <v>13</v>
      </c>
      <c r="X148" s="7">
        <f>原始值!Q148+VLOOKUP($H148,怪物强度修正!$A$2:$R$17,COLUMN(X148)-9,FALSE)</f>
        <v>15</v>
      </c>
      <c r="Y148" s="7">
        <f>原始值!R148+VLOOKUP($H148,怪物强度修正!$A$2:$R$17,COLUMN(Y148)-9,FALSE)</f>
        <v>75</v>
      </c>
      <c r="Z148" s="7">
        <f>原始值!S148+VLOOKUP($H148,怪物强度修正!$A$2:$R$17,COLUMN(Z148)-9,FALSE)</f>
        <v>300</v>
      </c>
      <c r="AA148" s="7">
        <f>原始值!T148+VLOOKUP($H148,怪物强度修正!$A$2:$R$17,COLUMN(AA148)-9,FALSE)</f>
        <v>50</v>
      </c>
    </row>
    <row r="149" spans="1:27" s="7" customFormat="1">
      <c r="A149" s="7" t="str">
        <f t="shared" si="34"/>
        <v>PhyType.NewNpcType_325</v>
      </c>
      <c r="B149" s="7" t="s">
        <v>137</v>
      </c>
      <c r="C149" s="7">
        <v>325</v>
      </c>
      <c r="D149" s="6">
        <v>325</v>
      </c>
      <c r="E149" s="6"/>
      <c r="F149" s="6"/>
      <c r="G149" s="6" t="str">
        <f t="shared" si="30"/>
        <v>红野猪头目</v>
      </c>
      <c r="H149" s="6" t="str">
        <f t="shared" si="31"/>
        <v>石墓</v>
      </c>
      <c r="I149" s="6">
        <f t="shared" si="32"/>
        <v>543</v>
      </c>
      <c r="J149" s="6"/>
      <c r="K149" s="7">
        <f>原始值!D149+VLOOKUP($H149,怪物强度修正!$A$2:$R$17,COLUMN(K149)-9,FALSE)</f>
        <v>25</v>
      </c>
      <c r="L149" s="7">
        <f>原始值!E149+VLOOKUP($H149,怪物强度修正!$A$2:$R$17,COLUMN(L149)-9,FALSE)</f>
        <v>33</v>
      </c>
      <c r="M149" s="7">
        <f t="shared" si="17"/>
        <v>25</v>
      </c>
      <c r="N149" s="7">
        <f t="shared" si="18"/>
        <v>33</v>
      </c>
      <c r="O149" s="7">
        <f>原始值!H149+VLOOKUP($H149,怪物强度修正!$A$2:$R$17,COLUMN(O149)-9,FALSE)</f>
        <v>0</v>
      </c>
      <c r="P149" s="7">
        <f>原始值!I149+VLOOKUP($H149,怪物强度修正!$A$2:$R$17,COLUMN(P149)-9,FALSE)</f>
        <v>0</v>
      </c>
      <c r="Q149" s="7">
        <f>原始值!J149+VLOOKUP($H149,怪物强度修正!$A$2:$R$17,COLUMN(Q149)-9,FALSE)</f>
        <v>1</v>
      </c>
      <c r="R149" s="7">
        <f>原始值!K149+VLOOKUP($H149,怪物强度修正!$A$2:$R$17,COLUMN(R149)-9,FALSE)</f>
        <v>1</v>
      </c>
      <c r="S149" s="7">
        <f>原始值!L149+VLOOKUP($H149,怪物强度修正!$A$2:$R$17,COLUMN(S149)-9,FALSE)</f>
        <v>10</v>
      </c>
      <c r="T149" s="7">
        <f>原始值!M149+VLOOKUP($H149,怪物强度修正!$A$2:$R$17,COLUMN(T149)-9,FALSE)</f>
        <v>10</v>
      </c>
      <c r="U149" s="7">
        <f>原始值!N149+VLOOKUP($H149,怪物强度修正!$A$2:$R$17,COLUMN(U149)-9,FALSE)</f>
        <v>530</v>
      </c>
      <c r="V149" s="7">
        <v>1</v>
      </c>
      <c r="W149" s="7">
        <f>原始值!P149+VLOOKUP($H149,怪物强度修正!$A$2:$R$17,COLUMN(W149)-9,FALSE)</f>
        <v>13</v>
      </c>
      <c r="X149" s="7">
        <f>原始值!Q149+VLOOKUP($H149,怪物强度修正!$A$2:$R$17,COLUMN(X149)-9,FALSE)</f>
        <v>15</v>
      </c>
      <c r="Y149" s="7">
        <f>原始值!R149+VLOOKUP($H149,怪物强度修正!$A$2:$R$17,COLUMN(Y149)-9,FALSE)</f>
        <v>75</v>
      </c>
      <c r="Z149" s="7">
        <f>原始值!S149+VLOOKUP($H149,怪物强度修正!$A$2:$R$17,COLUMN(Z149)-9,FALSE)</f>
        <v>300</v>
      </c>
      <c r="AA149" s="7">
        <f>原始值!T149+VLOOKUP($H149,怪物强度修正!$A$2:$R$17,COLUMN(AA149)-9,FALSE)</f>
        <v>50</v>
      </c>
    </row>
    <row r="150" spans="1:27" s="7" customFormat="1">
      <c r="A150" s="7" t="str">
        <f t="shared" si="34"/>
        <v>PhyType.NewNpcType_326</v>
      </c>
      <c r="B150" s="7" t="s">
        <v>137</v>
      </c>
      <c r="C150" s="7">
        <v>326</v>
      </c>
      <c r="D150" s="6">
        <v>326</v>
      </c>
      <c r="E150" s="6"/>
      <c r="F150" s="6"/>
      <c r="G150" s="6" t="str">
        <f t="shared" si="30"/>
        <v>黑野猪头目</v>
      </c>
      <c r="H150" s="6" t="str">
        <f t="shared" si="31"/>
        <v>石墓</v>
      </c>
      <c r="I150" s="6">
        <f t="shared" si="32"/>
        <v>645</v>
      </c>
      <c r="J150" s="6"/>
      <c r="K150" s="7">
        <f>原始值!D150+VLOOKUP($H150,怪物强度修正!$A$2:$R$17,COLUMN(K150)-9,FALSE)</f>
        <v>27</v>
      </c>
      <c r="L150" s="7">
        <f>原始值!E150+VLOOKUP($H150,怪物强度修正!$A$2:$R$17,COLUMN(L150)-9,FALSE)</f>
        <v>34</v>
      </c>
      <c r="M150" s="7">
        <f t="shared" si="17"/>
        <v>27</v>
      </c>
      <c r="N150" s="7">
        <f t="shared" si="18"/>
        <v>34</v>
      </c>
      <c r="O150" s="7">
        <f>原始值!H150+VLOOKUP($H150,怪物强度修正!$A$2:$R$17,COLUMN(O150)-9,FALSE)</f>
        <v>0</v>
      </c>
      <c r="P150" s="7">
        <f>原始值!I150+VLOOKUP($H150,怪物强度修正!$A$2:$R$17,COLUMN(P150)-9,FALSE)</f>
        <v>0</v>
      </c>
      <c r="Q150" s="7">
        <f>原始值!J150+VLOOKUP($H150,怪物强度修正!$A$2:$R$17,COLUMN(Q150)-9,FALSE)</f>
        <v>11</v>
      </c>
      <c r="R150" s="7">
        <f>原始值!K150+VLOOKUP($H150,怪物强度修正!$A$2:$R$17,COLUMN(R150)-9,FALSE)</f>
        <v>11</v>
      </c>
      <c r="S150" s="7">
        <f>原始值!L150+VLOOKUP($H150,怪物强度修正!$A$2:$R$17,COLUMN(S150)-9,FALSE)</f>
        <v>2</v>
      </c>
      <c r="T150" s="7">
        <f>原始值!M150+VLOOKUP($H150,怪物强度修正!$A$2:$R$17,COLUMN(T150)-9,FALSE)</f>
        <v>2</v>
      </c>
      <c r="U150" s="7">
        <f>原始值!N150+VLOOKUP($H150,怪物强度修正!$A$2:$R$17,COLUMN(U150)-9,FALSE)</f>
        <v>500</v>
      </c>
      <c r="V150" s="7">
        <v>1</v>
      </c>
      <c r="W150" s="7">
        <f>原始值!P150+VLOOKUP($H150,怪物强度修正!$A$2:$R$17,COLUMN(W150)-9,FALSE)</f>
        <v>13</v>
      </c>
      <c r="X150" s="7">
        <f>原始值!Q150+VLOOKUP($H150,怪物强度修正!$A$2:$R$17,COLUMN(X150)-9,FALSE)</f>
        <v>15</v>
      </c>
      <c r="Y150" s="7">
        <f>原始值!R150+VLOOKUP($H150,怪物强度修正!$A$2:$R$17,COLUMN(Y150)-9,FALSE)</f>
        <v>75</v>
      </c>
      <c r="Z150" s="7">
        <f>原始值!S150+VLOOKUP($H150,怪物强度修正!$A$2:$R$17,COLUMN(Z150)-9,FALSE)</f>
        <v>300</v>
      </c>
      <c r="AA150" s="7">
        <f>原始值!T150+VLOOKUP($H150,怪物强度修正!$A$2:$R$17,COLUMN(AA150)-9,FALSE)</f>
        <v>50</v>
      </c>
    </row>
    <row r="151" spans="1:27" s="7" customFormat="1">
      <c r="A151" s="7" t="str">
        <f t="shared" si="34"/>
        <v>PhyType.NewNpcType_327</v>
      </c>
      <c r="B151" s="7" t="s">
        <v>137</v>
      </c>
      <c r="C151" s="7">
        <v>327</v>
      </c>
      <c r="D151" s="6">
        <v>327</v>
      </c>
      <c r="E151" s="6"/>
      <c r="F151" s="6"/>
      <c r="G151" s="6" t="str">
        <f t="shared" si="30"/>
        <v>白野猪头目</v>
      </c>
      <c r="H151" s="6" t="str">
        <f t="shared" si="31"/>
        <v>石墓</v>
      </c>
      <c r="I151" s="6">
        <f t="shared" si="32"/>
        <v>2719</v>
      </c>
      <c r="J151" s="6"/>
      <c r="K151" s="7">
        <f>原始值!D151+VLOOKUP($H151,怪物强度修正!$A$2:$R$17,COLUMN(K151)-9,FALSE)</f>
        <v>39</v>
      </c>
      <c r="L151" s="7">
        <f>原始值!E151+VLOOKUP($H151,怪物强度修正!$A$2:$R$17,COLUMN(L151)-9,FALSE)</f>
        <v>69</v>
      </c>
      <c r="M151" s="7">
        <f t="shared" si="17"/>
        <v>39</v>
      </c>
      <c r="N151" s="7">
        <f t="shared" si="18"/>
        <v>69</v>
      </c>
      <c r="O151" s="7">
        <f>原始值!H151+VLOOKUP($H151,怪物强度修正!$A$2:$R$17,COLUMN(O151)-9,FALSE)</f>
        <v>0</v>
      </c>
      <c r="P151" s="7">
        <f>原始值!I151+VLOOKUP($H151,怪物强度修正!$A$2:$R$17,COLUMN(P151)-9,FALSE)</f>
        <v>0</v>
      </c>
      <c r="Q151" s="7">
        <f>原始值!J151+VLOOKUP($H151,怪物强度修正!$A$2:$R$17,COLUMN(Q151)-9,FALSE)</f>
        <v>16</v>
      </c>
      <c r="R151" s="7">
        <f>原始值!K151+VLOOKUP($H151,怪物强度修正!$A$2:$R$17,COLUMN(R151)-9,FALSE)</f>
        <v>16</v>
      </c>
      <c r="S151" s="7">
        <f>原始值!L151+VLOOKUP($H151,怪物强度修正!$A$2:$R$17,COLUMN(S151)-9,FALSE)</f>
        <v>17</v>
      </c>
      <c r="T151" s="7">
        <f>原始值!M151+VLOOKUP($H151,怪物强度修正!$A$2:$R$17,COLUMN(T151)-9,FALSE)</f>
        <v>17</v>
      </c>
      <c r="U151" s="7">
        <f>原始值!N151+VLOOKUP($H151,怪物强度修正!$A$2:$R$17,COLUMN(U151)-9,FALSE)</f>
        <v>1600</v>
      </c>
      <c r="V151" s="7">
        <v>1</v>
      </c>
      <c r="W151" s="7">
        <f>原始值!P151+VLOOKUP($H151,怪物强度修正!$A$2:$R$17,COLUMN(W151)-9,FALSE)</f>
        <v>17</v>
      </c>
      <c r="X151" s="7">
        <f>原始值!Q151+VLOOKUP($H151,怪物强度修正!$A$2:$R$17,COLUMN(X151)-9,FALSE)</f>
        <v>25</v>
      </c>
      <c r="Y151" s="7">
        <f>原始值!R151+VLOOKUP($H151,怪物强度修正!$A$2:$R$17,COLUMN(Y151)-9,FALSE)</f>
        <v>75</v>
      </c>
      <c r="Z151" s="7">
        <f>原始值!S151+VLOOKUP($H151,怪物强度修正!$A$2:$R$17,COLUMN(Z151)-9,FALSE)</f>
        <v>300</v>
      </c>
      <c r="AA151" s="7">
        <f>原始值!T151+VLOOKUP($H151,怪物强度修正!$A$2:$R$17,COLUMN(AA151)-9,FALSE)</f>
        <v>50</v>
      </c>
    </row>
    <row r="152" spans="1:27" s="7" customFormat="1">
      <c r="A152" s="7" t="str">
        <f t="shared" si="34"/>
        <v>PhyType.NewNpcType_328</v>
      </c>
      <c r="B152" s="7" t="s">
        <v>137</v>
      </c>
      <c r="C152" s="7">
        <v>328</v>
      </c>
      <c r="D152" s="6">
        <v>328</v>
      </c>
      <c r="E152" s="6"/>
      <c r="F152" s="6"/>
      <c r="G152" s="6" t="str">
        <f t="shared" ref="G152:G175" si="35">G40&amp;"头目"</f>
        <v>虹魔猪卫头目</v>
      </c>
      <c r="H152" s="6" t="str">
        <f t="shared" ref="H152:H175" si="36">H40</f>
        <v>虹魔教坛</v>
      </c>
      <c r="I152" s="6">
        <f t="shared" ref="I152:I175" si="37">INT((I40+1)*1.7-1)</f>
        <v>3399</v>
      </c>
      <c r="J152" s="6"/>
      <c r="K152" s="7">
        <f>原始值!D152+VLOOKUP($H152,怪物强度修正!$A$2:$R$17,COLUMN(K152)-9,FALSE)</f>
        <v>48</v>
      </c>
      <c r="L152" s="7">
        <f>原始值!E152+VLOOKUP($H152,怪物强度修正!$A$2:$R$17,COLUMN(L152)-9,FALSE)</f>
        <v>72</v>
      </c>
      <c r="M152" s="7">
        <f t="shared" si="17"/>
        <v>48</v>
      </c>
      <c r="N152" s="7">
        <f t="shared" si="18"/>
        <v>72</v>
      </c>
      <c r="O152" s="7">
        <f>原始值!H152+VLOOKUP($H152,怪物强度修正!$A$2:$R$17,COLUMN(O152)-9,FALSE)</f>
        <v>0</v>
      </c>
      <c r="P152" s="7">
        <f>原始值!I152+VLOOKUP($H152,怪物强度修正!$A$2:$R$17,COLUMN(P152)-9,FALSE)</f>
        <v>0</v>
      </c>
      <c r="Q152" s="7">
        <f>原始值!J152+VLOOKUP($H152,怪物强度修正!$A$2:$R$17,COLUMN(Q152)-9,FALSE)</f>
        <v>20</v>
      </c>
      <c r="R152" s="7">
        <f>原始值!K152+VLOOKUP($H152,怪物强度修正!$A$2:$R$17,COLUMN(R152)-9,FALSE)</f>
        <v>20</v>
      </c>
      <c r="S152" s="7">
        <f>原始值!L152+VLOOKUP($H152,怪物强度修正!$A$2:$R$17,COLUMN(S152)-9,FALSE)</f>
        <v>20</v>
      </c>
      <c r="T152" s="7">
        <f>原始值!M152+VLOOKUP($H152,怪物强度修正!$A$2:$R$17,COLUMN(T152)-9,FALSE)</f>
        <v>20</v>
      </c>
      <c r="U152" s="7">
        <f>原始值!N152+VLOOKUP($H152,怪物强度修正!$A$2:$R$17,COLUMN(U152)-9,FALSE)</f>
        <v>2400</v>
      </c>
      <c r="V152" s="7">
        <v>1</v>
      </c>
      <c r="W152" s="7">
        <f>原始值!P152+VLOOKUP($H152,怪物强度修正!$A$2:$R$17,COLUMN(W152)-9,FALSE)</f>
        <v>17</v>
      </c>
      <c r="X152" s="7">
        <f>原始值!Q152+VLOOKUP($H152,怪物强度修正!$A$2:$R$17,COLUMN(X152)-9,FALSE)</f>
        <v>25</v>
      </c>
      <c r="Y152" s="7">
        <f>原始值!R152+VLOOKUP($H152,怪物强度修正!$A$2:$R$17,COLUMN(Y152)-9,FALSE)</f>
        <v>75</v>
      </c>
      <c r="Z152" s="7">
        <f>原始值!S152+VLOOKUP($H152,怪物强度修正!$A$2:$R$17,COLUMN(Z152)-9,FALSE)</f>
        <v>300</v>
      </c>
      <c r="AA152" s="7">
        <f>原始值!T152+VLOOKUP($H152,怪物强度修正!$A$2:$R$17,COLUMN(AA152)-9,FALSE)</f>
        <v>50</v>
      </c>
    </row>
    <row r="153" spans="1:27" s="7" customFormat="1">
      <c r="A153" s="7" t="str">
        <f t="shared" si="34"/>
        <v>PhyType.NewNpcType_329</v>
      </c>
      <c r="B153" s="7" t="s">
        <v>137</v>
      </c>
      <c r="C153" s="7">
        <v>329</v>
      </c>
      <c r="D153" s="6">
        <v>329</v>
      </c>
      <c r="E153" s="6"/>
      <c r="F153" s="6"/>
      <c r="G153" s="6" t="str">
        <f t="shared" si="35"/>
        <v>虹魔蝎卫头目</v>
      </c>
      <c r="H153" s="6" t="str">
        <f t="shared" si="36"/>
        <v>虹魔教坛</v>
      </c>
      <c r="I153" s="6">
        <f t="shared" si="37"/>
        <v>4249</v>
      </c>
      <c r="J153" s="6"/>
      <c r="K153" s="7">
        <f>原始值!D153+VLOOKUP($H153,怪物强度修正!$A$2:$R$17,COLUMN(K153)-9,FALSE)</f>
        <v>54</v>
      </c>
      <c r="L153" s="7">
        <f>原始值!E153+VLOOKUP($H153,怪物强度修正!$A$2:$R$17,COLUMN(L153)-9,FALSE)</f>
        <v>78</v>
      </c>
      <c r="M153" s="7">
        <f t="shared" si="17"/>
        <v>54</v>
      </c>
      <c r="N153" s="7">
        <f t="shared" si="18"/>
        <v>78</v>
      </c>
      <c r="O153" s="7">
        <f>原始值!H153+VLOOKUP($H153,怪物强度修正!$A$2:$R$17,COLUMN(O153)-9,FALSE)</f>
        <v>0</v>
      </c>
      <c r="P153" s="7">
        <f>原始值!I153+VLOOKUP($H153,怪物强度修正!$A$2:$R$17,COLUMN(P153)-9,FALSE)</f>
        <v>0</v>
      </c>
      <c r="Q153" s="7">
        <f>原始值!J153+VLOOKUP($H153,怪物强度修正!$A$2:$R$17,COLUMN(Q153)-9,FALSE)</f>
        <v>25</v>
      </c>
      <c r="R153" s="7">
        <f>原始值!K153+VLOOKUP($H153,怪物强度修正!$A$2:$R$17,COLUMN(R153)-9,FALSE)</f>
        <v>25</v>
      </c>
      <c r="S153" s="7">
        <f>原始值!L153+VLOOKUP($H153,怪物强度修正!$A$2:$R$17,COLUMN(S153)-9,FALSE)</f>
        <v>25</v>
      </c>
      <c r="T153" s="7">
        <f>原始值!M153+VLOOKUP($H153,怪物强度修正!$A$2:$R$17,COLUMN(T153)-9,FALSE)</f>
        <v>25</v>
      </c>
      <c r="U153" s="7">
        <f>原始值!N153+VLOOKUP($H153,怪物强度修正!$A$2:$R$17,COLUMN(U153)-9,FALSE)</f>
        <v>3200</v>
      </c>
      <c r="V153" s="7">
        <v>1</v>
      </c>
      <c r="W153" s="7">
        <f>原始值!P153+VLOOKUP($H153,怪物强度修正!$A$2:$R$17,COLUMN(W153)-9,FALSE)</f>
        <v>17</v>
      </c>
      <c r="X153" s="7">
        <f>原始值!Q153+VLOOKUP($H153,怪物强度修正!$A$2:$R$17,COLUMN(X153)-9,FALSE)</f>
        <v>25</v>
      </c>
      <c r="Y153" s="7">
        <f>原始值!R153+VLOOKUP($H153,怪物强度修正!$A$2:$R$17,COLUMN(Y153)-9,FALSE)</f>
        <v>75</v>
      </c>
      <c r="Z153" s="7">
        <f>原始值!S153+VLOOKUP($H153,怪物强度修正!$A$2:$R$17,COLUMN(Z153)-9,FALSE)</f>
        <v>300</v>
      </c>
      <c r="AA153" s="7">
        <f>原始值!T153+VLOOKUP($H153,怪物强度修正!$A$2:$R$17,COLUMN(AA153)-9,FALSE)</f>
        <v>50</v>
      </c>
    </row>
    <row r="154" spans="1:27" s="7" customFormat="1">
      <c r="A154" s="7" t="str">
        <f t="shared" si="34"/>
        <v>PhyType.NewNpcType_330</v>
      </c>
      <c r="B154" s="7" t="s">
        <v>137</v>
      </c>
      <c r="C154" s="7">
        <v>330</v>
      </c>
      <c r="D154" s="6">
        <v>330</v>
      </c>
      <c r="E154" s="6"/>
      <c r="F154" s="6"/>
      <c r="G154" s="6" t="str">
        <f t="shared" si="35"/>
        <v>残肢僵尸1头目</v>
      </c>
      <c r="H154" s="6" t="str">
        <f t="shared" si="36"/>
        <v>比奇矿区</v>
      </c>
      <c r="I154" s="6">
        <f t="shared" si="37"/>
        <v>126</v>
      </c>
      <c r="J154" s="6"/>
      <c r="K154" s="7">
        <f>原始值!D154+VLOOKUP($H154,怪物强度修正!$A$2:$R$17,COLUMN(K154)-9,FALSE)</f>
        <v>6</v>
      </c>
      <c r="L154" s="7">
        <f>原始值!E154+VLOOKUP($H154,怪物强度修正!$A$2:$R$17,COLUMN(L154)-9,FALSE)</f>
        <v>14</v>
      </c>
      <c r="M154" s="7">
        <f t="shared" si="17"/>
        <v>6</v>
      </c>
      <c r="N154" s="7">
        <f t="shared" si="18"/>
        <v>14</v>
      </c>
      <c r="O154" s="7">
        <f>原始值!H154+VLOOKUP($H154,怪物强度修正!$A$2:$R$17,COLUMN(O154)-9,FALSE)</f>
        <v>0</v>
      </c>
      <c r="P154" s="7">
        <f>原始值!I154+VLOOKUP($H154,怪物强度修正!$A$2:$R$17,COLUMN(P154)-9,FALSE)</f>
        <v>0</v>
      </c>
      <c r="Q154" s="7">
        <f>原始值!J154+VLOOKUP($H154,怪物强度修正!$A$2:$R$17,COLUMN(Q154)-9,FALSE)</f>
        <v>2</v>
      </c>
      <c r="R154" s="7">
        <f>原始值!K154+VLOOKUP($H154,怪物强度修正!$A$2:$R$17,COLUMN(R154)-9,FALSE)</f>
        <v>2</v>
      </c>
      <c r="S154" s="7">
        <f>原始值!L154+VLOOKUP($H154,怪物强度修正!$A$2:$R$17,COLUMN(S154)-9,FALSE)</f>
        <v>1</v>
      </c>
      <c r="T154" s="7">
        <f>原始值!M154+VLOOKUP($H154,怪物强度修正!$A$2:$R$17,COLUMN(T154)-9,FALSE)</f>
        <v>1</v>
      </c>
      <c r="U154" s="7">
        <f>原始值!N154+VLOOKUP($H154,怪物强度修正!$A$2:$R$17,COLUMN(U154)-9,FALSE)</f>
        <v>120</v>
      </c>
      <c r="V154" s="7">
        <v>1</v>
      </c>
      <c r="W154" s="7">
        <f>原始值!P154+VLOOKUP($H154,怪物强度修正!$A$2:$R$17,COLUMN(W154)-9,FALSE)</f>
        <v>5</v>
      </c>
      <c r="X154" s="7">
        <f>原始值!Q154+VLOOKUP($H154,怪物强度修正!$A$2:$R$17,COLUMN(X154)-9,FALSE)</f>
        <v>10</v>
      </c>
      <c r="Y154" s="7">
        <f>原始值!R154+VLOOKUP($H154,怪物强度修正!$A$2:$R$17,COLUMN(Y154)-9,FALSE)</f>
        <v>75</v>
      </c>
      <c r="Z154" s="7">
        <f>原始值!S154+VLOOKUP($H154,怪物强度修正!$A$2:$R$17,COLUMN(Z154)-9,FALSE)</f>
        <v>300</v>
      </c>
      <c r="AA154" s="7">
        <f>原始值!T154+VLOOKUP($H154,怪物强度修正!$A$2:$R$17,COLUMN(AA154)-9,FALSE)</f>
        <v>50</v>
      </c>
    </row>
    <row r="155" spans="1:27" s="7" customFormat="1">
      <c r="A155" s="7" t="str">
        <f t="shared" si="34"/>
        <v>PhyType.NewNpcType_331</v>
      </c>
      <c r="B155" s="7" t="s">
        <v>137</v>
      </c>
      <c r="C155" s="7">
        <v>331</v>
      </c>
      <c r="D155" s="6">
        <v>331</v>
      </c>
      <c r="E155" s="6"/>
      <c r="F155" s="6"/>
      <c r="G155" s="6" t="str">
        <f t="shared" si="35"/>
        <v>直立僵尸1头目</v>
      </c>
      <c r="H155" s="6" t="str">
        <f t="shared" si="36"/>
        <v>比奇矿区</v>
      </c>
      <c r="I155" s="6">
        <f t="shared" si="37"/>
        <v>126</v>
      </c>
      <c r="J155" s="6"/>
      <c r="K155" s="7">
        <f>原始值!D155+VLOOKUP($H155,怪物强度修正!$A$2:$R$17,COLUMN(K155)-9,FALSE)</f>
        <v>6</v>
      </c>
      <c r="L155" s="7">
        <f>原始值!E155+VLOOKUP($H155,怪物强度修正!$A$2:$R$17,COLUMN(L155)-9,FALSE)</f>
        <v>18</v>
      </c>
      <c r="M155" s="7">
        <f t="shared" si="17"/>
        <v>6</v>
      </c>
      <c r="N155" s="7">
        <f t="shared" si="18"/>
        <v>18</v>
      </c>
      <c r="O155" s="7">
        <f>原始值!H155+VLOOKUP($H155,怪物强度修正!$A$2:$R$17,COLUMN(O155)-9,FALSE)</f>
        <v>0</v>
      </c>
      <c r="P155" s="7">
        <f>原始值!I155+VLOOKUP($H155,怪物强度修正!$A$2:$R$17,COLUMN(P155)-9,FALSE)</f>
        <v>0</v>
      </c>
      <c r="Q155" s="7">
        <f>原始值!J155+VLOOKUP($H155,怪物强度修正!$A$2:$R$17,COLUMN(Q155)-9,FALSE)</f>
        <v>2</v>
      </c>
      <c r="R155" s="7">
        <f>原始值!K155+VLOOKUP($H155,怪物强度修正!$A$2:$R$17,COLUMN(R155)-9,FALSE)</f>
        <v>2</v>
      </c>
      <c r="S155" s="7">
        <f>原始值!L155+VLOOKUP($H155,怪物强度修正!$A$2:$R$17,COLUMN(S155)-9,FALSE)</f>
        <v>1</v>
      </c>
      <c r="T155" s="7">
        <f>原始值!M155+VLOOKUP($H155,怪物强度修正!$A$2:$R$17,COLUMN(T155)-9,FALSE)</f>
        <v>1</v>
      </c>
      <c r="U155" s="7">
        <f>原始值!N155+VLOOKUP($H155,怪物强度修正!$A$2:$R$17,COLUMN(U155)-9,FALSE)</f>
        <v>120</v>
      </c>
      <c r="V155" s="7">
        <v>1</v>
      </c>
      <c r="W155" s="7">
        <f>原始值!P155+VLOOKUP($H155,怪物强度修正!$A$2:$R$17,COLUMN(W155)-9,FALSE)</f>
        <v>5</v>
      </c>
      <c r="X155" s="7">
        <f>原始值!Q155+VLOOKUP($H155,怪物强度修正!$A$2:$R$17,COLUMN(X155)-9,FALSE)</f>
        <v>10</v>
      </c>
      <c r="Y155" s="7">
        <f>原始值!R155+VLOOKUP($H155,怪物强度修正!$A$2:$R$17,COLUMN(Y155)-9,FALSE)</f>
        <v>75</v>
      </c>
      <c r="Z155" s="7">
        <f>原始值!S155+VLOOKUP($H155,怪物强度修正!$A$2:$R$17,COLUMN(Z155)-9,FALSE)</f>
        <v>300</v>
      </c>
      <c r="AA155" s="7">
        <f>原始值!T155+VLOOKUP($H155,怪物强度修正!$A$2:$R$17,COLUMN(AA155)-9,FALSE)</f>
        <v>50</v>
      </c>
    </row>
    <row r="156" spans="1:27" s="7" customFormat="1">
      <c r="A156" s="7" t="str">
        <f t="shared" si="34"/>
        <v>PhyType.NewNpcType_332</v>
      </c>
      <c r="B156" s="7" t="s">
        <v>137</v>
      </c>
      <c r="C156" s="7">
        <v>332</v>
      </c>
      <c r="D156" s="6">
        <v>332</v>
      </c>
      <c r="E156" s="6"/>
      <c r="F156" s="6"/>
      <c r="G156" s="6" t="str">
        <f t="shared" si="35"/>
        <v>残肢僵尸2头目</v>
      </c>
      <c r="H156" s="6" t="str">
        <f t="shared" si="36"/>
        <v>比奇矿区</v>
      </c>
      <c r="I156" s="6">
        <f t="shared" si="37"/>
        <v>61</v>
      </c>
      <c r="J156" s="6"/>
      <c r="K156" s="7">
        <f>原始值!D156+VLOOKUP($H156,怪物强度修正!$A$2:$R$17,COLUMN(K156)-9,FALSE)</f>
        <v>6</v>
      </c>
      <c r="L156" s="7">
        <f>原始值!E156+VLOOKUP($H156,怪物强度修正!$A$2:$R$17,COLUMN(L156)-9,FALSE)</f>
        <v>14</v>
      </c>
      <c r="M156" s="7">
        <f t="shared" si="17"/>
        <v>6</v>
      </c>
      <c r="N156" s="7">
        <f t="shared" si="18"/>
        <v>14</v>
      </c>
      <c r="O156" s="7">
        <f>原始值!H156+VLOOKUP($H156,怪物强度修正!$A$2:$R$17,COLUMN(O156)-9,FALSE)</f>
        <v>0</v>
      </c>
      <c r="P156" s="7">
        <f>原始值!I156+VLOOKUP($H156,怪物强度修正!$A$2:$R$17,COLUMN(P156)-9,FALSE)</f>
        <v>0</v>
      </c>
      <c r="Q156" s="7">
        <f>原始值!J156+VLOOKUP($H156,怪物强度修正!$A$2:$R$17,COLUMN(Q156)-9,FALSE)</f>
        <v>2</v>
      </c>
      <c r="R156" s="7">
        <f>原始值!K156+VLOOKUP($H156,怪物强度修正!$A$2:$R$17,COLUMN(R156)-9,FALSE)</f>
        <v>2</v>
      </c>
      <c r="S156" s="7">
        <f>原始值!L156+VLOOKUP($H156,怪物强度修正!$A$2:$R$17,COLUMN(S156)-9,FALSE)</f>
        <v>1</v>
      </c>
      <c r="T156" s="7">
        <f>原始值!M156+VLOOKUP($H156,怪物强度修正!$A$2:$R$17,COLUMN(T156)-9,FALSE)</f>
        <v>1</v>
      </c>
      <c r="U156" s="7">
        <f>原始值!N156+VLOOKUP($H156,怪物强度修正!$A$2:$R$17,COLUMN(U156)-9,FALSE)</f>
        <v>60</v>
      </c>
      <c r="V156" s="7">
        <v>1</v>
      </c>
      <c r="W156" s="7">
        <f>原始值!P156+VLOOKUP($H156,怪物强度修正!$A$2:$R$17,COLUMN(W156)-9,FALSE)</f>
        <v>5</v>
      </c>
      <c r="X156" s="7">
        <f>原始值!Q156+VLOOKUP($H156,怪物强度修正!$A$2:$R$17,COLUMN(X156)-9,FALSE)</f>
        <v>10</v>
      </c>
      <c r="Y156" s="7">
        <f>原始值!R156+VLOOKUP($H156,怪物强度修正!$A$2:$R$17,COLUMN(Y156)-9,FALSE)</f>
        <v>75</v>
      </c>
      <c r="Z156" s="7">
        <f>原始值!S156+VLOOKUP($H156,怪物强度修正!$A$2:$R$17,COLUMN(Z156)-9,FALSE)</f>
        <v>300</v>
      </c>
      <c r="AA156" s="7">
        <f>原始值!T156+VLOOKUP($H156,怪物强度修正!$A$2:$R$17,COLUMN(AA156)-9,FALSE)</f>
        <v>50</v>
      </c>
    </row>
    <row r="157" spans="1:27" s="7" customFormat="1">
      <c r="A157" s="7" t="str">
        <f t="shared" si="34"/>
        <v>PhyType.NewNpcType_333</v>
      </c>
      <c r="B157" s="7" t="s">
        <v>137</v>
      </c>
      <c r="C157" s="7">
        <v>333</v>
      </c>
      <c r="D157" s="6">
        <v>333</v>
      </c>
      <c r="E157" s="6"/>
      <c r="F157" s="6"/>
      <c r="G157" s="6" t="str">
        <f t="shared" si="35"/>
        <v>直立僵尸2头目</v>
      </c>
      <c r="H157" s="6" t="str">
        <f t="shared" si="36"/>
        <v>比奇矿区</v>
      </c>
      <c r="I157" s="6">
        <f t="shared" si="37"/>
        <v>61</v>
      </c>
      <c r="J157" s="6"/>
      <c r="K157" s="7">
        <f>原始值!D157+VLOOKUP($H157,怪物强度修正!$A$2:$R$17,COLUMN(K157)-9,FALSE)</f>
        <v>6</v>
      </c>
      <c r="L157" s="7">
        <f>原始值!E157+VLOOKUP($H157,怪物强度修正!$A$2:$R$17,COLUMN(L157)-9,FALSE)</f>
        <v>18</v>
      </c>
      <c r="M157" s="7">
        <f t="shared" si="17"/>
        <v>6</v>
      </c>
      <c r="N157" s="7">
        <f t="shared" si="18"/>
        <v>18</v>
      </c>
      <c r="O157" s="7">
        <f>原始值!H157+VLOOKUP($H157,怪物强度修正!$A$2:$R$17,COLUMN(O157)-9,FALSE)</f>
        <v>0</v>
      </c>
      <c r="P157" s="7">
        <f>原始值!I157+VLOOKUP($H157,怪物强度修正!$A$2:$R$17,COLUMN(P157)-9,FALSE)</f>
        <v>0</v>
      </c>
      <c r="Q157" s="7">
        <f>原始值!J157+VLOOKUP($H157,怪物强度修正!$A$2:$R$17,COLUMN(Q157)-9,FALSE)</f>
        <v>2</v>
      </c>
      <c r="R157" s="7">
        <f>原始值!K157+VLOOKUP($H157,怪物强度修正!$A$2:$R$17,COLUMN(R157)-9,FALSE)</f>
        <v>2</v>
      </c>
      <c r="S157" s="7">
        <f>原始值!L157+VLOOKUP($H157,怪物强度修正!$A$2:$R$17,COLUMN(S157)-9,FALSE)</f>
        <v>1</v>
      </c>
      <c r="T157" s="7">
        <f>原始值!M157+VLOOKUP($H157,怪物强度修正!$A$2:$R$17,COLUMN(T157)-9,FALSE)</f>
        <v>1</v>
      </c>
      <c r="U157" s="7">
        <f>原始值!N157+VLOOKUP($H157,怪物强度修正!$A$2:$R$17,COLUMN(U157)-9,FALSE)</f>
        <v>60</v>
      </c>
      <c r="V157" s="7">
        <v>1</v>
      </c>
      <c r="W157" s="7">
        <f>原始值!P157+VLOOKUP($H157,怪物强度修正!$A$2:$R$17,COLUMN(W157)-9,FALSE)</f>
        <v>5</v>
      </c>
      <c r="X157" s="7">
        <f>原始值!Q157+VLOOKUP($H157,怪物强度修正!$A$2:$R$17,COLUMN(X157)-9,FALSE)</f>
        <v>10</v>
      </c>
      <c r="Y157" s="7">
        <f>原始值!R157+VLOOKUP($H157,怪物强度修正!$A$2:$R$17,COLUMN(Y157)-9,FALSE)</f>
        <v>75</v>
      </c>
      <c r="Z157" s="7">
        <f>原始值!S157+VLOOKUP($H157,怪物强度修正!$A$2:$R$17,COLUMN(Z157)-9,FALSE)</f>
        <v>300</v>
      </c>
      <c r="AA157" s="7">
        <f>原始值!T157+VLOOKUP($H157,怪物强度修正!$A$2:$R$17,COLUMN(AA157)-9,FALSE)</f>
        <v>50</v>
      </c>
    </row>
    <row r="158" spans="1:27" s="7" customFormat="1">
      <c r="A158" s="7" t="str">
        <f t="shared" si="34"/>
        <v>PhyType.NewNpcType_334</v>
      </c>
      <c r="B158" s="7" t="s">
        <v>137</v>
      </c>
      <c r="C158" s="7">
        <v>334</v>
      </c>
      <c r="D158" s="6">
        <v>334</v>
      </c>
      <c r="E158" s="6"/>
      <c r="F158" s="6"/>
      <c r="G158" s="6" t="str">
        <f t="shared" si="35"/>
        <v>祖玛老鼠头目</v>
      </c>
      <c r="H158" s="6" t="str">
        <f t="shared" si="36"/>
        <v>祖玛寺庙</v>
      </c>
      <c r="I158" s="6">
        <f t="shared" si="37"/>
        <v>594</v>
      </c>
      <c r="J158" s="6"/>
      <c r="K158" s="7">
        <f>原始值!D158+VLOOKUP($H158,怪物强度修正!$A$2:$R$17,COLUMN(K158)-9,FALSE)</f>
        <v>18</v>
      </c>
      <c r="L158" s="7">
        <f>原始值!E158+VLOOKUP($H158,怪物强度修正!$A$2:$R$17,COLUMN(L158)-9,FALSE)</f>
        <v>32</v>
      </c>
      <c r="M158" s="7">
        <f t="shared" si="17"/>
        <v>18</v>
      </c>
      <c r="N158" s="7">
        <f t="shared" si="18"/>
        <v>32</v>
      </c>
      <c r="O158" s="7">
        <f>原始值!H158+VLOOKUP($H158,怪物强度修正!$A$2:$R$17,COLUMN(O158)-9,FALSE)</f>
        <v>0</v>
      </c>
      <c r="P158" s="7">
        <f>原始值!I158+VLOOKUP($H158,怪物强度修正!$A$2:$R$17,COLUMN(P158)-9,FALSE)</f>
        <v>0</v>
      </c>
      <c r="Q158" s="7">
        <f>原始值!J158+VLOOKUP($H158,怪物强度修正!$A$2:$R$17,COLUMN(Q158)-9,FALSE)</f>
        <v>4</v>
      </c>
      <c r="R158" s="7">
        <f>原始值!K158+VLOOKUP($H158,怪物强度修正!$A$2:$R$17,COLUMN(R158)-9,FALSE)</f>
        <v>4</v>
      </c>
      <c r="S158" s="7">
        <f>原始值!L158+VLOOKUP($H158,怪物强度修正!$A$2:$R$17,COLUMN(S158)-9,FALSE)</f>
        <v>7</v>
      </c>
      <c r="T158" s="7">
        <f>原始值!M158+VLOOKUP($H158,怪物强度修正!$A$2:$R$17,COLUMN(T158)-9,FALSE)</f>
        <v>7</v>
      </c>
      <c r="U158" s="7">
        <f>原始值!N158+VLOOKUP($H158,怪物强度修正!$A$2:$R$17,COLUMN(U158)-9,FALSE)</f>
        <v>620</v>
      </c>
      <c r="V158" s="7">
        <v>1</v>
      </c>
      <c r="W158" s="7">
        <f>原始值!P158+VLOOKUP($H158,怪物强度修正!$A$2:$R$17,COLUMN(W158)-9,FALSE)</f>
        <v>12</v>
      </c>
      <c r="X158" s="7">
        <f>原始值!Q158+VLOOKUP($H158,怪物强度修正!$A$2:$R$17,COLUMN(X158)-9,FALSE)</f>
        <v>15</v>
      </c>
      <c r="Y158" s="7">
        <f>原始值!R158+VLOOKUP($H158,怪物强度修正!$A$2:$R$17,COLUMN(Y158)-9,FALSE)</f>
        <v>75</v>
      </c>
      <c r="Z158" s="7">
        <f>原始值!S158+VLOOKUP($H158,怪物强度修正!$A$2:$R$17,COLUMN(Z158)-9,FALSE)</f>
        <v>300</v>
      </c>
      <c r="AA158" s="7">
        <f>原始值!T158+VLOOKUP($H158,怪物强度修正!$A$2:$R$17,COLUMN(AA158)-9,FALSE)</f>
        <v>50</v>
      </c>
    </row>
    <row r="159" spans="1:27" s="7" customFormat="1">
      <c r="A159" s="7" t="str">
        <f t="shared" si="34"/>
        <v>PhyType.NewNpcType_335</v>
      </c>
      <c r="B159" s="7" t="s">
        <v>137</v>
      </c>
      <c r="C159" s="7">
        <v>335</v>
      </c>
      <c r="D159" s="6">
        <v>335</v>
      </c>
      <c r="E159" s="6"/>
      <c r="F159" s="6"/>
      <c r="G159" s="6" t="str">
        <f t="shared" si="35"/>
        <v>祖玛卫士弓头目</v>
      </c>
      <c r="H159" s="6" t="str">
        <f t="shared" si="36"/>
        <v>祖玛寺庙</v>
      </c>
      <c r="I159" s="6">
        <f t="shared" si="37"/>
        <v>628</v>
      </c>
      <c r="J159" s="6"/>
      <c r="K159" s="7">
        <f>原始值!D159+VLOOKUP($H159,怪物强度修正!$A$2:$R$17,COLUMN(K159)-9,FALSE)</f>
        <v>18</v>
      </c>
      <c r="L159" s="7">
        <f>原始值!E159+VLOOKUP($H159,怪物强度修正!$A$2:$R$17,COLUMN(L159)-9,FALSE)</f>
        <v>26</v>
      </c>
      <c r="M159" s="7">
        <f t="shared" ref="M159:M311" si="38">K159</f>
        <v>18</v>
      </c>
      <c r="N159" s="7">
        <f t="shared" ref="N159:N311" si="39">L159</f>
        <v>26</v>
      </c>
      <c r="O159" s="7">
        <f>原始值!H159+VLOOKUP($H159,怪物强度修正!$A$2:$R$17,COLUMN(O159)-9,FALSE)</f>
        <v>0</v>
      </c>
      <c r="P159" s="7">
        <f>原始值!I159+VLOOKUP($H159,怪物强度修正!$A$2:$R$17,COLUMN(P159)-9,FALSE)</f>
        <v>0</v>
      </c>
      <c r="Q159" s="7">
        <f>原始值!J159+VLOOKUP($H159,怪物强度修正!$A$2:$R$17,COLUMN(Q159)-9,FALSE)</f>
        <v>11</v>
      </c>
      <c r="R159" s="7">
        <f>原始值!K159+VLOOKUP($H159,怪物强度修正!$A$2:$R$17,COLUMN(R159)-9,FALSE)</f>
        <v>11</v>
      </c>
      <c r="S159" s="7">
        <f>原始值!L159+VLOOKUP($H159,怪物强度修正!$A$2:$R$17,COLUMN(S159)-9,FALSE)</f>
        <v>12</v>
      </c>
      <c r="T159" s="7">
        <f>原始值!M159+VLOOKUP($H159,怪物强度修正!$A$2:$R$17,COLUMN(T159)-9,FALSE)</f>
        <v>12</v>
      </c>
      <c r="U159" s="7">
        <f>原始值!N159+VLOOKUP($H159,怪物强度修正!$A$2:$R$17,COLUMN(U159)-9,FALSE)</f>
        <v>620</v>
      </c>
      <c r="V159" s="7">
        <v>1</v>
      </c>
      <c r="W159" s="7">
        <f>原始值!P159+VLOOKUP($H159,怪物强度修正!$A$2:$R$17,COLUMN(W159)-9,FALSE)</f>
        <v>15</v>
      </c>
      <c r="X159" s="7">
        <f>原始值!Q159+VLOOKUP($H159,怪物强度修正!$A$2:$R$17,COLUMN(X159)-9,FALSE)</f>
        <v>15</v>
      </c>
      <c r="Y159" s="7">
        <f>原始值!R159+VLOOKUP($H159,怪物强度修正!$A$2:$R$17,COLUMN(Y159)-9,FALSE)</f>
        <v>75</v>
      </c>
      <c r="Z159" s="7">
        <f>原始值!S159+VLOOKUP($H159,怪物强度修正!$A$2:$R$17,COLUMN(Z159)-9,FALSE)</f>
        <v>300</v>
      </c>
      <c r="AA159" s="7">
        <f>原始值!T159+VLOOKUP($H159,怪物强度修正!$A$2:$R$17,COLUMN(AA159)-9,FALSE)</f>
        <v>50</v>
      </c>
    </row>
    <row r="160" spans="1:27" s="7" customFormat="1">
      <c r="A160" s="7" t="str">
        <f t="shared" si="34"/>
        <v>PhyType.NewNpcType_336</v>
      </c>
      <c r="B160" s="7" t="s">
        <v>137</v>
      </c>
      <c r="C160" s="7">
        <v>336</v>
      </c>
      <c r="D160" s="6">
        <v>336</v>
      </c>
      <c r="E160" s="6"/>
      <c r="F160" s="6"/>
      <c r="G160" s="6" t="str">
        <f t="shared" si="35"/>
        <v>祖玛卫士枪头目</v>
      </c>
      <c r="H160" s="6" t="str">
        <f t="shared" si="36"/>
        <v>祖玛寺庙</v>
      </c>
      <c r="I160" s="6">
        <f t="shared" si="37"/>
        <v>764</v>
      </c>
      <c r="J160" s="6"/>
      <c r="K160" s="7">
        <f>原始值!D160+VLOOKUP($H160,怪物强度修正!$A$2:$R$17,COLUMN(K160)-9,FALSE)</f>
        <v>28</v>
      </c>
      <c r="L160" s="7">
        <f>原始值!E160+VLOOKUP($H160,怪物强度修正!$A$2:$R$17,COLUMN(L160)-9,FALSE)</f>
        <v>42</v>
      </c>
      <c r="M160" s="7">
        <f t="shared" si="38"/>
        <v>28</v>
      </c>
      <c r="N160" s="7">
        <f t="shared" si="39"/>
        <v>42</v>
      </c>
      <c r="O160" s="7">
        <f>原始值!H160+VLOOKUP($H160,怪物强度修正!$A$2:$R$17,COLUMN(O160)-9,FALSE)</f>
        <v>0</v>
      </c>
      <c r="P160" s="7">
        <f>原始值!I160+VLOOKUP($H160,怪物强度修正!$A$2:$R$17,COLUMN(P160)-9,FALSE)</f>
        <v>0</v>
      </c>
      <c r="Q160" s="7">
        <f>原始值!J160+VLOOKUP($H160,怪物强度修正!$A$2:$R$17,COLUMN(Q160)-9,FALSE)</f>
        <v>13</v>
      </c>
      <c r="R160" s="7">
        <f>原始值!K160+VLOOKUP($H160,怪物强度修正!$A$2:$R$17,COLUMN(R160)-9,FALSE)</f>
        <v>13</v>
      </c>
      <c r="S160" s="7">
        <f>原始值!L160+VLOOKUP($H160,怪物强度修正!$A$2:$R$17,COLUMN(S160)-9,FALSE)</f>
        <v>14</v>
      </c>
      <c r="T160" s="7">
        <f>原始值!M160+VLOOKUP($H160,怪物强度修正!$A$2:$R$17,COLUMN(T160)-9,FALSE)</f>
        <v>14</v>
      </c>
      <c r="U160" s="7">
        <f>原始值!N160+VLOOKUP($H160,怪物强度修正!$A$2:$R$17,COLUMN(U160)-9,FALSE)</f>
        <v>790</v>
      </c>
      <c r="V160" s="7">
        <v>1</v>
      </c>
      <c r="W160" s="7">
        <f>原始值!P160+VLOOKUP($H160,怪物强度修正!$A$2:$R$17,COLUMN(W160)-9,FALSE)</f>
        <v>15</v>
      </c>
      <c r="X160" s="7">
        <f>原始值!Q160+VLOOKUP($H160,怪物强度修正!$A$2:$R$17,COLUMN(X160)-9,FALSE)</f>
        <v>17</v>
      </c>
      <c r="Y160" s="7">
        <f>原始值!R160+VLOOKUP($H160,怪物强度修正!$A$2:$R$17,COLUMN(Y160)-9,FALSE)</f>
        <v>75</v>
      </c>
      <c r="Z160" s="7">
        <f>原始值!S160+VLOOKUP($H160,怪物强度修正!$A$2:$R$17,COLUMN(Z160)-9,FALSE)</f>
        <v>300</v>
      </c>
      <c r="AA160" s="7">
        <f>原始值!T160+VLOOKUP($H160,怪物强度修正!$A$2:$R$17,COLUMN(AA160)-9,FALSE)</f>
        <v>50</v>
      </c>
    </row>
    <row r="161" spans="1:27" s="7" customFormat="1">
      <c r="A161" s="7" t="str">
        <f t="shared" si="34"/>
        <v>PhyType.NewNpcType_337</v>
      </c>
      <c r="B161" s="7" t="s">
        <v>137</v>
      </c>
      <c r="C161" s="7">
        <v>337</v>
      </c>
      <c r="D161" s="6">
        <v>337</v>
      </c>
      <c r="E161" s="6"/>
      <c r="F161" s="6"/>
      <c r="G161" s="6" t="str">
        <f t="shared" si="35"/>
        <v>祖玛卫士锤头目</v>
      </c>
      <c r="H161" s="6" t="str">
        <f t="shared" si="36"/>
        <v>祖玛寺庙</v>
      </c>
      <c r="I161" s="6">
        <f t="shared" si="37"/>
        <v>815</v>
      </c>
      <c r="J161" s="6"/>
      <c r="K161" s="7">
        <f>原始值!D161+VLOOKUP($H161,怪物强度修正!$A$2:$R$17,COLUMN(K161)-9,FALSE)</f>
        <v>30</v>
      </c>
      <c r="L161" s="7">
        <f>原始值!E161+VLOOKUP($H161,怪物强度修正!$A$2:$R$17,COLUMN(L161)-9,FALSE)</f>
        <v>45</v>
      </c>
      <c r="M161" s="7">
        <f t="shared" si="38"/>
        <v>30</v>
      </c>
      <c r="N161" s="7">
        <f t="shared" si="39"/>
        <v>45</v>
      </c>
      <c r="O161" s="7">
        <f>原始值!H161+VLOOKUP($H161,怪物强度修正!$A$2:$R$17,COLUMN(O161)-9,FALSE)</f>
        <v>0</v>
      </c>
      <c r="P161" s="7">
        <f>原始值!I161+VLOOKUP($H161,怪物强度修正!$A$2:$R$17,COLUMN(P161)-9,FALSE)</f>
        <v>0</v>
      </c>
      <c r="Q161" s="7">
        <f>原始值!J161+VLOOKUP($H161,怪物强度修正!$A$2:$R$17,COLUMN(Q161)-9,FALSE)</f>
        <v>16</v>
      </c>
      <c r="R161" s="7">
        <f>原始值!K161+VLOOKUP($H161,怪物强度修正!$A$2:$R$17,COLUMN(R161)-9,FALSE)</f>
        <v>16</v>
      </c>
      <c r="S161" s="7">
        <f>原始值!L161+VLOOKUP($H161,怪物强度修正!$A$2:$R$17,COLUMN(S161)-9,FALSE)</f>
        <v>17</v>
      </c>
      <c r="T161" s="7">
        <f>原始值!M161+VLOOKUP($H161,怪物强度修正!$A$2:$R$17,COLUMN(T161)-9,FALSE)</f>
        <v>17</v>
      </c>
      <c r="U161" s="7">
        <f>原始值!N161+VLOOKUP($H161,怪物强度修正!$A$2:$R$17,COLUMN(U161)-9,FALSE)</f>
        <v>790</v>
      </c>
      <c r="V161" s="7">
        <v>1</v>
      </c>
      <c r="W161" s="7">
        <f>原始值!P161+VLOOKUP($H161,怪物强度修正!$A$2:$R$17,COLUMN(W161)-9,FALSE)</f>
        <v>15</v>
      </c>
      <c r="X161" s="7">
        <f>原始值!Q161+VLOOKUP($H161,怪物强度修正!$A$2:$R$17,COLUMN(X161)-9,FALSE)</f>
        <v>17</v>
      </c>
      <c r="Y161" s="7">
        <f>原始值!R161+VLOOKUP($H161,怪物强度修正!$A$2:$R$17,COLUMN(Y161)-9,FALSE)</f>
        <v>75</v>
      </c>
      <c r="Z161" s="7">
        <f>原始值!S161+VLOOKUP($H161,怪物强度修正!$A$2:$R$17,COLUMN(Z161)-9,FALSE)</f>
        <v>300</v>
      </c>
      <c r="AA161" s="7">
        <f>原始值!T161+VLOOKUP($H161,怪物强度修正!$A$2:$R$17,COLUMN(AA161)-9,FALSE)</f>
        <v>50</v>
      </c>
    </row>
    <row r="162" spans="1:27" s="7" customFormat="1">
      <c r="A162" s="7" t="str">
        <f t="shared" ref="A162:A220" si="40">"PhyType.NewNpcType_"&amp;D162</f>
        <v>PhyType.NewNpcType_341</v>
      </c>
      <c r="B162" s="7" t="s">
        <v>137</v>
      </c>
      <c r="C162" s="7">
        <v>341</v>
      </c>
      <c r="D162" s="6">
        <v>341</v>
      </c>
      <c r="E162" s="6"/>
      <c r="F162" s="6"/>
      <c r="G162" s="6" t="str">
        <f t="shared" si="35"/>
        <v>角蝇头目</v>
      </c>
      <c r="H162" s="6" t="str">
        <f t="shared" si="36"/>
        <v>祖玛寺庙</v>
      </c>
      <c r="I162" s="6">
        <f t="shared" si="37"/>
        <v>509</v>
      </c>
      <c r="J162" s="6"/>
      <c r="K162" s="7">
        <f>原始值!D162+VLOOKUP($H162,怪物强度修正!$A$2:$R$17,COLUMN(K162)-9,FALSE)</f>
        <v>4</v>
      </c>
      <c r="L162" s="7">
        <f>原始值!E162+VLOOKUP($H162,怪物强度修正!$A$2:$R$17,COLUMN(L162)-9,FALSE)</f>
        <v>4</v>
      </c>
      <c r="M162" s="7">
        <f t="shared" si="38"/>
        <v>4</v>
      </c>
      <c r="N162" s="7">
        <f t="shared" si="39"/>
        <v>4</v>
      </c>
      <c r="O162" s="7">
        <f>原始值!H162+VLOOKUP($H162,怪物强度修正!$A$2:$R$17,COLUMN(O162)-9,FALSE)</f>
        <v>0</v>
      </c>
      <c r="P162" s="7">
        <f>原始值!I162+VLOOKUP($H162,怪物强度修正!$A$2:$R$17,COLUMN(P162)-9,FALSE)</f>
        <v>0</v>
      </c>
      <c r="Q162" s="7">
        <f>原始值!J162+VLOOKUP($H162,怪物强度修正!$A$2:$R$17,COLUMN(Q162)-9,FALSE)</f>
        <v>1</v>
      </c>
      <c r="R162" s="7">
        <f>原始值!K162+VLOOKUP($H162,怪物强度修正!$A$2:$R$17,COLUMN(R162)-9,FALSE)</f>
        <v>1</v>
      </c>
      <c r="S162" s="7">
        <f>原始值!L162+VLOOKUP($H162,怪物强度修正!$A$2:$R$17,COLUMN(S162)-9,FALSE)</f>
        <v>8</v>
      </c>
      <c r="T162" s="7">
        <f>原始值!M162+VLOOKUP($H162,怪物强度修正!$A$2:$R$17,COLUMN(T162)-9,FALSE)</f>
        <v>8</v>
      </c>
      <c r="U162" s="7">
        <f>原始值!N162+VLOOKUP($H162,怪物强度修正!$A$2:$R$17,COLUMN(U162)-9,FALSE)</f>
        <v>320</v>
      </c>
      <c r="V162" s="7">
        <v>1</v>
      </c>
      <c r="W162" s="7">
        <f>原始值!P162+VLOOKUP($H162,怪物强度修正!$A$2:$R$17,COLUMN(W162)-9,FALSE)</f>
        <v>1</v>
      </c>
      <c r="X162" s="7">
        <f>原始值!Q162+VLOOKUP($H162,怪物强度修正!$A$2:$R$17,COLUMN(X162)-9,FALSE)</f>
        <v>1</v>
      </c>
      <c r="Y162" s="7">
        <f>原始值!R162+VLOOKUP($H162,怪物强度修正!$A$2:$R$17,COLUMN(Y162)-9,FALSE)</f>
        <v>75</v>
      </c>
      <c r="Z162" s="7">
        <f>原始值!S162+VLOOKUP($H162,怪物强度修正!$A$2:$R$17,COLUMN(Z162)-9,FALSE)</f>
        <v>300</v>
      </c>
      <c r="AA162" s="7">
        <f>原始值!T162+VLOOKUP($H162,怪物强度修正!$A$2:$R$17,COLUMN(AA162)-9,FALSE)</f>
        <v>50</v>
      </c>
    </row>
    <row r="163" spans="1:27" s="7" customFormat="1">
      <c r="A163" s="7" t="str">
        <f t="shared" si="40"/>
        <v>PhyType.NewNpcType_339</v>
      </c>
      <c r="B163" s="7" t="s">
        <v>137</v>
      </c>
      <c r="C163" s="7">
        <v>339</v>
      </c>
      <c r="D163" s="6">
        <v>339</v>
      </c>
      <c r="E163" s="6"/>
      <c r="F163" s="6"/>
      <c r="G163" s="6" t="str">
        <f t="shared" si="35"/>
        <v>蝙蝠头目</v>
      </c>
      <c r="H163" s="6" t="str">
        <f t="shared" si="36"/>
        <v>祖玛寺庙</v>
      </c>
      <c r="I163" s="6">
        <f t="shared" si="37"/>
        <v>7</v>
      </c>
      <c r="J163" s="6"/>
      <c r="K163" s="7">
        <f>原始值!D163+VLOOKUP($H163,怪物强度修正!$A$2:$R$17,COLUMN(K163)-9,FALSE)</f>
        <v>4</v>
      </c>
      <c r="L163" s="7">
        <f>原始值!E163+VLOOKUP($H163,怪物强度修正!$A$2:$R$17,COLUMN(L163)-9,FALSE)</f>
        <v>30</v>
      </c>
      <c r="M163" s="7">
        <f t="shared" si="38"/>
        <v>4</v>
      </c>
      <c r="N163" s="7">
        <f t="shared" si="39"/>
        <v>30</v>
      </c>
      <c r="O163" s="7">
        <f>原始值!H163+VLOOKUP($H163,怪物强度修正!$A$2:$R$17,COLUMN(O163)-9,FALSE)</f>
        <v>0</v>
      </c>
      <c r="P163" s="7">
        <f>原始值!I163+VLOOKUP($H163,怪物强度修正!$A$2:$R$17,COLUMN(P163)-9,FALSE)</f>
        <v>0</v>
      </c>
      <c r="Q163" s="7">
        <f>原始值!J163+VLOOKUP($H163,怪物强度修正!$A$2:$R$17,COLUMN(Q163)-9,FALSE)</f>
        <v>1</v>
      </c>
      <c r="R163" s="7">
        <f>原始值!K163+VLOOKUP($H163,怪物强度修正!$A$2:$R$17,COLUMN(R163)-9,FALSE)</f>
        <v>1</v>
      </c>
      <c r="S163" s="7">
        <f>原始值!L163+VLOOKUP($H163,怪物强度修正!$A$2:$R$17,COLUMN(S163)-9,FALSE)</f>
        <v>2</v>
      </c>
      <c r="T163" s="7">
        <f>原始值!M163+VLOOKUP($H163,怪物强度修正!$A$2:$R$17,COLUMN(T163)-9,FALSE)</f>
        <v>2</v>
      </c>
      <c r="U163" s="7">
        <f>原始值!N163+VLOOKUP($H163,怪物强度修正!$A$2:$R$17,COLUMN(U163)-9,FALSE)</f>
        <v>5</v>
      </c>
      <c r="V163" s="7">
        <v>1</v>
      </c>
      <c r="W163" s="7">
        <f>原始值!P163+VLOOKUP($H163,怪物强度修正!$A$2:$R$17,COLUMN(W163)-9,FALSE)</f>
        <v>18</v>
      </c>
      <c r="X163" s="7">
        <f>原始值!Q163+VLOOKUP($H163,怪物强度修正!$A$2:$R$17,COLUMN(X163)-9,FALSE)</f>
        <v>5</v>
      </c>
      <c r="Y163" s="7">
        <f>原始值!R163+VLOOKUP($H163,怪物强度修正!$A$2:$R$17,COLUMN(Y163)-9,FALSE)</f>
        <v>75</v>
      </c>
      <c r="Z163" s="7">
        <f>原始值!S163+VLOOKUP($H163,怪物强度修正!$A$2:$R$17,COLUMN(Z163)-9,FALSE)</f>
        <v>300</v>
      </c>
      <c r="AA163" s="7">
        <f>原始值!T163+VLOOKUP($H163,怪物强度修正!$A$2:$R$17,COLUMN(AA163)-9,FALSE)</f>
        <v>50</v>
      </c>
    </row>
    <row r="164" spans="1:27" s="7" customFormat="1">
      <c r="A164" s="7" t="str">
        <f t="shared" si="40"/>
        <v>PhyType.NewNpcType_340</v>
      </c>
      <c r="B164" s="7" t="s">
        <v>137</v>
      </c>
      <c r="C164" s="7">
        <v>340</v>
      </c>
      <c r="D164" s="6">
        <v>340</v>
      </c>
      <c r="E164" s="6"/>
      <c r="F164" s="6"/>
      <c r="G164" s="6" t="str">
        <f t="shared" si="35"/>
        <v>楔蛾头目</v>
      </c>
      <c r="H164" s="6" t="str">
        <f t="shared" si="36"/>
        <v>祖玛寺庙</v>
      </c>
      <c r="I164" s="6">
        <f t="shared" si="37"/>
        <v>594</v>
      </c>
      <c r="J164" s="6"/>
      <c r="K164" s="7">
        <f>原始值!D164+VLOOKUP($H164,怪物强度修正!$A$2:$R$17,COLUMN(K164)-9,FALSE)</f>
        <v>20</v>
      </c>
      <c r="L164" s="7">
        <f>原始值!E164+VLOOKUP($H164,怪物强度修正!$A$2:$R$17,COLUMN(L164)-9,FALSE)</f>
        <v>26</v>
      </c>
      <c r="M164" s="7">
        <f t="shared" si="38"/>
        <v>20</v>
      </c>
      <c r="N164" s="7">
        <f t="shared" si="39"/>
        <v>26</v>
      </c>
      <c r="O164" s="7">
        <f>原始值!H164+VLOOKUP($H164,怪物强度修正!$A$2:$R$17,COLUMN(O164)-9,FALSE)</f>
        <v>0</v>
      </c>
      <c r="P164" s="7">
        <f>原始值!I164+VLOOKUP($H164,怪物强度修正!$A$2:$R$17,COLUMN(P164)-9,FALSE)</f>
        <v>0</v>
      </c>
      <c r="Q164" s="7">
        <f>原始值!J164+VLOOKUP($H164,怪物强度修正!$A$2:$R$17,COLUMN(Q164)-9,FALSE)</f>
        <v>1</v>
      </c>
      <c r="R164" s="7">
        <f>原始值!K164+VLOOKUP($H164,怪物强度修正!$A$2:$R$17,COLUMN(R164)-9,FALSE)</f>
        <v>1</v>
      </c>
      <c r="S164" s="7">
        <f>原始值!L164+VLOOKUP($H164,怪物强度修正!$A$2:$R$17,COLUMN(S164)-9,FALSE)</f>
        <v>7</v>
      </c>
      <c r="T164" s="7">
        <f>原始值!M164+VLOOKUP($H164,怪物强度修正!$A$2:$R$17,COLUMN(T164)-9,FALSE)</f>
        <v>7</v>
      </c>
      <c r="U164" s="7">
        <f>原始值!N164+VLOOKUP($H164,怪物强度修正!$A$2:$R$17,COLUMN(U164)-9,FALSE)</f>
        <v>350</v>
      </c>
      <c r="V164" s="7">
        <v>1</v>
      </c>
      <c r="W164" s="7">
        <f>原始值!P164+VLOOKUP($H164,怪物强度修正!$A$2:$R$17,COLUMN(W164)-9,FALSE)</f>
        <v>15</v>
      </c>
      <c r="X164" s="7">
        <f>原始值!Q164+VLOOKUP($H164,怪物强度修正!$A$2:$R$17,COLUMN(X164)-9,FALSE)</f>
        <v>17</v>
      </c>
      <c r="Y164" s="7">
        <f>原始值!R164+VLOOKUP($H164,怪物强度修正!$A$2:$R$17,COLUMN(Y164)-9,FALSE)</f>
        <v>75</v>
      </c>
      <c r="Z164" s="7">
        <f>原始值!S164+VLOOKUP($H164,怪物强度修正!$A$2:$R$17,COLUMN(Z164)-9,FALSE)</f>
        <v>300</v>
      </c>
      <c r="AA164" s="7">
        <f>原始值!T164+VLOOKUP($H164,怪物强度修正!$A$2:$R$17,COLUMN(AA164)-9,FALSE)</f>
        <v>50</v>
      </c>
    </row>
    <row r="165" spans="1:27" s="7" customFormat="1">
      <c r="A165" s="7" t="str">
        <f t="shared" ref="A165:A174" si="41">"PhyType.NewNpcType_"&amp;D165</f>
        <v>PhyType.NewNpcType_342</v>
      </c>
      <c r="B165" s="7" t="s">
        <v>137</v>
      </c>
      <c r="C165" s="7">
        <v>342</v>
      </c>
      <c r="D165" s="6">
        <v>342</v>
      </c>
      <c r="E165" s="6"/>
      <c r="F165" s="6"/>
      <c r="G165" s="6" t="str">
        <f t="shared" si="35"/>
        <v>鹰卫头目</v>
      </c>
      <c r="H165" s="6" t="str">
        <f t="shared" si="36"/>
        <v>赤月峡谷</v>
      </c>
      <c r="I165" s="6">
        <f t="shared" si="37"/>
        <v>849</v>
      </c>
      <c r="J165" s="6"/>
      <c r="K165" s="7">
        <f>原始值!D165+VLOOKUP($H165,怪物强度修正!$A$2:$R$17,COLUMN(K165)-9,FALSE)</f>
        <v>41</v>
      </c>
      <c r="L165" s="7">
        <f>原始值!E165+VLOOKUP($H165,怪物强度修正!$A$2:$R$17,COLUMN(L165)-9,FALSE)</f>
        <v>65</v>
      </c>
      <c r="M165" s="7">
        <f t="shared" ref="M165:M174" si="42">K165</f>
        <v>41</v>
      </c>
      <c r="N165" s="7">
        <f t="shared" ref="N165:N174" si="43">L165</f>
        <v>65</v>
      </c>
      <c r="O165" s="7">
        <f>原始值!H165+VLOOKUP($H165,怪物强度修正!$A$2:$R$17,COLUMN(O165)-9,FALSE)</f>
        <v>0</v>
      </c>
      <c r="P165" s="7">
        <f>原始值!I165+VLOOKUP($H165,怪物强度修正!$A$2:$R$17,COLUMN(P165)-9,FALSE)</f>
        <v>0</v>
      </c>
      <c r="Q165" s="7">
        <f>原始值!J165+VLOOKUP($H165,怪物强度修正!$A$2:$R$17,COLUMN(Q165)-9,FALSE)</f>
        <v>16</v>
      </c>
      <c r="R165" s="7">
        <f>原始值!K165+VLOOKUP($H165,怪物强度修正!$A$2:$R$17,COLUMN(R165)-9,FALSE)</f>
        <v>16</v>
      </c>
      <c r="S165" s="7">
        <f>原始值!L165+VLOOKUP($H165,怪物强度修正!$A$2:$R$17,COLUMN(S165)-9,FALSE)</f>
        <v>20</v>
      </c>
      <c r="T165" s="7">
        <f>原始值!M165+VLOOKUP($H165,怪物强度修正!$A$2:$R$17,COLUMN(T165)-9,FALSE)</f>
        <v>20</v>
      </c>
      <c r="U165" s="7">
        <f>原始值!N165+VLOOKUP($H165,怪物强度修正!$A$2:$R$17,COLUMN(U165)-9,FALSE)</f>
        <v>2400</v>
      </c>
      <c r="V165" s="7">
        <v>2</v>
      </c>
      <c r="W165" s="7">
        <f>原始值!P165+VLOOKUP($H165,怪物强度修正!$A$2:$R$17,COLUMN(W165)-9,FALSE)</f>
        <v>15</v>
      </c>
      <c r="X165" s="7">
        <f>原始值!Q165+VLOOKUP($H165,怪物强度修正!$A$2:$R$17,COLUMN(X165)-9,FALSE)</f>
        <v>20</v>
      </c>
      <c r="Y165" s="7">
        <f>原始值!R165+VLOOKUP($H165,怪物强度修正!$A$2:$R$17,COLUMN(Y165)-9,FALSE)</f>
        <v>75</v>
      </c>
      <c r="Z165" s="7">
        <f>原始值!S165+VLOOKUP($H165,怪物强度修正!$A$2:$R$17,COLUMN(Z165)-9,FALSE)</f>
        <v>300</v>
      </c>
      <c r="AA165" s="7">
        <f>原始值!T165+VLOOKUP($H165,怪物强度修正!$A$2:$R$17,COLUMN(AA165)-9,FALSE)</f>
        <v>50</v>
      </c>
    </row>
    <row r="166" spans="1:27" s="7" customFormat="1">
      <c r="A166" s="7" t="str">
        <f t="shared" si="41"/>
        <v>PhyType.NewNpcType_343</v>
      </c>
      <c r="B166" s="7" t="s">
        <v>137</v>
      </c>
      <c r="C166" s="7">
        <v>343</v>
      </c>
      <c r="D166" s="6">
        <v>343</v>
      </c>
      <c r="E166" s="6"/>
      <c r="F166" s="6"/>
      <c r="G166" s="6" t="str">
        <f t="shared" si="35"/>
        <v>月魔蜘蛛头目</v>
      </c>
      <c r="H166" s="6" t="str">
        <f t="shared" si="36"/>
        <v>赤月峡谷</v>
      </c>
      <c r="I166" s="6">
        <f t="shared" si="37"/>
        <v>1189</v>
      </c>
      <c r="J166" s="6"/>
      <c r="K166" s="7">
        <f>原始值!D166+VLOOKUP($H166,怪物强度修正!$A$2:$R$17,COLUMN(K166)-9,FALSE)</f>
        <v>37</v>
      </c>
      <c r="L166" s="7">
        <f>原始值!E166+VLOOKUP($H166,怪物强度修正!$A$2:$R$17,COLUMN(L166)-9,FALSE)</f>
        <v>37</v>
      </c>
      <c r="M166" s="7">
        <f t="shared" si="42"/>
        <v>37</v>
      </c>
      <c r="N166" s="7">
        <f t="shared" si="43"/>
        <v>37</v>
      </c>
      <c r="O166" s="7">
        <f>原始值!H166+VLOOKUP($H166,怪物强度修正!$A$2:$R$17,COLUMN(O166)-9,FALSE)</f>
        <v>0</v>
      </c>
      <c r="P166" s="7">
        <f>原始值!I166+VLOOKUP($H166,怪物强度修正!$A$2:$R$17,COLUMN(P166)-9,FALSE)</f>
        <v>0</v>
      </c>
      <c r="Q166" s="7">
        <f>原始值!J166+VLOOKUP($H166,怪物强度修正!$A$2:$R$17,COLUMN(Q166)-9,FALSE)</f>
        <v>13</v>
      </c>
      <c r="R166" s="7">
        <f>原始值!K166+VLOOKUP($H166,怪物强度修正!$A$2:$R$17,COLUMN(R166)-9,FALSE)</f>
        <v>13</v>
      </c>
      <c r="S166" s="7">
        <f>原始值!L166+VLOOKUP($H166,怪物强度修正!$A$2:$R$17,COLUMN(S166)-9,FALSE)</f>
        <v>30</v>
      </c>
      <c r="T166" s="7">
        <f>原始值!M166+VLOOKUP($H166,怪物强度修正!$A$2:$R$17,COLUMN(T166)-9,FALSE)</f>
        <v>30</v>
      </c>
      <c r="U166" s="7">
        <f>原始值!N166+VLOOKUP($H166,怪物强度修正!$A$2:$R$17,COLUMN(U166)-9,FALSE)</f>
        <v>1360</v>
      </c>
      <c r="V166" s="7">
        <v>3</v>
      </c>
      <c r="W166" s="7">
        <f>原始值!P166+VLOOKUP($H166,怪物强度修正!$A$2:$R$17,COLUMN(W166)-9,FALSE)</f>
        <v>50</v>
      </c>
      <c r="X166" s="7">
        <f>原始值!Q166+VLOOKUP($H166,怪物强度修正!$A$2:$R$17,COLUMN(X166)-9,FALSE)</f>
        <v>20</v>
      </c>
      <c r="Y166" s="7">
        <f>原始值!R166+VLOOKUP($H166,怪物强度修正!$A$2:$R$17,COLUMN(Y166)-9,FALSE)</f>
        <v>75</v>
      </c>
      <c r="Z166" s="7">
        <f>原始值!S166+VLOOKUP($H166,怪物强度修正!$A$2:$R$17,COLUMN(Z166)-9,FALSE)</f>
        <v>300</v>
      </c>
      <c r="AA166" s="7">
        <f>原始值!T166+VLOOKUP($H166,怪物强度修正!$A$2:$R$17,COLUMN(AA166)-9,FALSE)</f>
        <v>50</v>
      </c>
    </row>
    <row r="167" spans="1:27" s="7" customFormat="1">
      <c r="A167" s="7" t="str">
        <f t="shared" si="41"/>
        <v>PhyType.NewNpcType_344</v>
      </c>
      <c r="B167" s="7" t="s">
        <v>137</v>
      </c>
      <c r="C167" s="7">
        <v>344</v>
      </c>
      <c r="D167" s="6">
        <v>344</v>
      </c>
      <c r="E167" s="6"/>
      <c r="F167" s="6"/>
      <c r="G167" s="6" t="str">
        <f t="shared" si="35"/>
        <v>天狼蜘蛛头目</v>
      </c>
      <c r="H167" s="6" t="str">
        <f t="shared" si="36"/>
        <v>赤月峡谷</v>
      </c>
      <c r="I167" s="6">
        <f t="shared" si="37"/>
        <v>849</v>
      </c>
      <c r="J167" s="6"/>
      <c r="K167" s="7">
        <f>原始值!D167+VLOOKUP($H167,怪物强度修正!$A$2:$R$17,COLUMN(K167)-9,FALSE)</f>
        <v>31</v>
      </c>
      <c r="L167" s="7">
        <f>原始值!E167+VLOOKUP($H167,怪物强度修正!$A$2:$R$17,COLUMN(L167)-9,FALSE)</f>
        <v>46</v>
      </c>
      <c r="M167" s="7">
        <f t="shared" si="42"/>
        <v>31</v>
      </c>
      <c r="N167" s="7">
        <f t="shared" si="43"/>
        <v>46</v>
      </c>
      <c r="O167" s="7">
        <f>原始值!H167+VLOOKUP($H167,怪物强度修正!$A$2:$R$17,COLUMN(O167)-9,FALSE)</f>
        <v>0</v>
      </c>
      <c r="P167" s="7">
        <f>原始值!I167+VLOOKUP($H167,怪物强度修正!$A$2:$R$17,COLUMN(P167)-9,FALSE)</f>
        <v>0</v>
      </c>
      <c r="Q167" s="7">
        <f>原始值!J167+VLOOKUP($H167,怪物强度修正!$A$2:$R$17,COLUMN(Q167)-9,FALSE)</f>
        <v>9</v>
      </c>
      <c r="R167" s="7">
        <f>原始值!K167+VLOOKUP($H167,怪物强度修正!$A$2:$R$17,COLUMN(R167)-9,FALSE)</f>
        <v>9</v>
      </c>
      <c r="S167" s="7">
        <f>原始值!L167+VLOOKUP($H167,怪物强度修正!$A$2:$R$17,COLUMN(S167)-9,FALSE)</f>
        <v>22</v>
      </c>
      <c r="T167" s="7">
        <f>原始值!M167+VLOOKUP($H167,怪物强度修正!$A$2:$R$17,COLUMN(T167)-9,FALSE)</f>
        <v>22</v>
      </c>
      <c r="U167" s="7">
        <f>原始值!N167+VLOOKUP($H167,怪物强度修正!$A$2:$R$17,COLUMN(U167)-9,FALSE)</f>
        <v>800</v>
      </c>
      <c r="V167" s="7">
        <v>4</v>
      </c>
      <c r="W167" s="7">
        <f>原始值!P167+VLOOKUP($H167,怪物强度修正!$A$2:$R$17,COLUMN(W167)-9,FALSE)</f>
        <v>15</v>
      </c>
      <c r="X167" s="7">
        <f>原始值!Q167+VLOOKUP($H167,怪物强度修正!$A$2:$R$17,COLUMN(X167)-9,FALSE)</f>
        <v>17</v>
      </c>
      <c r="Y167" s="7">
        <f>原始值!R167+VLOOKUP($H167,怪物强度修正!$A$2:$R$17,COLUMN(Y167)-9,FALSE)</f>
        <v>75</v>
      </c>
      <c r="Z167" s="7">
        <f>原始值!S167+VLOOKUP($H167,怪物强度修正!$A$2:$R$17,COLUMN(Z167)-9,FALSE)</f>
        <v>300</v>
      </c>
      <c r="AA167" s="7">
        <f>原始值!T167+VLOOKUP($H167,怪物强度修正!$A$2:$R$17,COLUMN(AA167)-9,FALSE)</f>
        <v>50</v>
      </c>
    </row>
    <row r="168" spans="1:27" s="7" customFormat="1">
      <c r="A168" s="7" t="str">
        <f t="shared" si="41"/>
        <v>PhyType.NewNpcType_345</v>
      </c>
      <c r="B168" s="7" t="s">
        <v>137</v>
      </c>
      <c r="C168" s="7">
        <v>345</v>
      </c>
      <c r="D168" s="6">
        <v>345</v>
      </c>
      <c r="E168" s="6"/>
      <c r="F168" s="6"/>
      <c r="G168" s="6" t="str">
        <f t="shared" si="35"/>
        <v>钢牙蜘蛛头目</v>
      </c>
      <c r="H168" s="6" t="str">
        <f t="shared" si="36"/>
        <v>赤月峡谷</v>
      </c>
      <c r="I168" s="6">
        <f t="shared" si="37"/>
        <v>1189</v>
      </c>
      <c r="J168" s="6"/>
      <c r="K168" s="7">
        <f>原始值!D168+VLOOKUP($H168,怪物强度修正!$A$2:$R$17,COLUMN(K168)-9,FALSE)</f>
        <v>47</v>
      </c>
      <c r="L168" s="7">
        <f>原始值!E168+VLOOKUP($H168,怪物强度修正!$A$2:$R$17,COLUMN(L168)-9,FALSE)</f>
        <v>65</v>
      </c>
      <c r="M168" s="7">
        <f t="shared" si="42"/>
        <v>47</v>
      </c>
      <c r="N168" s="7">
        <f t="shared" si="43"/>
        <v>65</v>
      </c>
      <c r="O168" s="7">
        <f>原始值!H168+VLOOKUP($H168,怪物强度修正!$A$2:$R$17,COLUMN(O168)-9,FALSE)</f>
        <v>0</v>
      </c>
      <c r="P168" s="7">
        <f>原始值!I168+VLOOKUP($H168,怪物强度修正!$A$2:$R$17,COLUMN(P168)-9,FALSE)</f>
        <v>0</v>
      </c>
      <c r="Q168" s="7">
        <f>原始值!J168+VLOOKUP($H168,怪物强度修正!$A$2:$R$17,COLUMN(Q168)-9,FALSE)</f>
        <v>14</v>
      </c>
      <c r="R168" s="7">
        <f>原始值!K168+VLOOKUP($H168,怪物强度修正!$A$2:$R$17,COLUMN(R168)-9,FALSE)</f>
        <v>14</v>
      </c>
      <c r="S168" s="7">
        <f>原始值!L168+VLOOKUP($H168,怪物强度修正!$A$2:$R$17,COLUMN(S168)-9,FALSE)</f>
        <v>35</v>
      </c>
      <c r="T168" s="7">
        <f>原始值!M168+VLOOKUP($H168,怪物强度修正!$A$2:$R$17,COLUMN(T168)-9,FALSE)</f>
        <v>35</v>
      </c>
      <c r="U168" s="7">
        <f>原始值!N168+VLOOKUP($H168,怪物强度修正!$A$2:$R$17,COLUMN(U168)-9,FALSE)</f>
        <v>1280</v>
      </c>
      <c r="V168" s="7">
        <v>5</v>
      </c>
      <c r="W168" s="7">
        <f>原始值!P168+VLOOKUP($H168,怪物强度修正!$A$2:$R$17,COLUMN(W168)-9,FALSE)</f>
        <v>20</v>
      </c>
      <c r="X168" s="7">
        <f>原始值!Q168+VLOOKUP($H168,怪物强度修正!$A$2:$R$17,COLUMN(X168)-9,FALSE)</f>
        <v>17</v>
      </c>
      <c r="Y168" s="7">
        <f>原始值!R168+VLOOKUP($H168,怪物强度修正!$A$2:$R$17,COLUMN(Y168)-9,FALSE)</f>
        <v>75</v>
      </c>
      <c r="Z168" s="7">
        <f>原始值!S168+VLOOKUP($H168,怪物强度修正!$A$2:$R$17,COLUMN(Z168)-9,FALSE)</f>
        <v>300</v>
      </c>
      <c r="AA168" s="7">
        <f>原始值!T168+VLOOKUP($H168,怪物强度修正!$A$2:$R$17,COLUMN(AA168)-9,FALSE)</f>
        <v>50</v>
      </c>
    </row>
    <row r="169" spans="1:27" s="7" customFormat="1">
      <c r="A169" s="7" t="str">
        <f t="shared" si="41"/>
        <v>PhyType.NewNpcType_346</v>
      </c>
      <c r="B169" s="7" t="s">
        <v>137</v>
      </c>
      <c r="C169" s="7">
        <v>346</v>
      </c>
      <c r="D169" s="6">
        <v>346</v>
      </c>
      <c r="E169" s="6"/>
      <c r="F169" s="6"/>
      <c r="G169" s="6" t="str">
        <f t="shared" si="35"/>
        <v>花吻蜘蛛头目</v>
      </c>
      <c r="H169" s="6" t="str">
        <f t="shared" si="36"/>
        <v>赤月峡谷</v>
      </c>
      <c r="I169" s="6">
        <f t="shared" si="37"/>
        <v>1155</v>
      </c>
      <c r="J169" s="6"/>
      <c r="K169" s="7">
        <f>原始值!D169+VLOOKUP($H169,怪物强度修正!$A$2:$R$17,COLUMN(K169)-9,FALSE)</f>
        <v>29</v>
      </c>
      <c r="L169" s="7">
        <f>原始值!E169+VLOOKUP($H169,怪物强度修正!$A$2:$R$17,COLUMN(L169)-9,FALSE)</f>
        <v>77</v>
      </c>
      <c r="M169" s="7">
        <f t="shared" si="42"/>
        <v>29</v>
      </c>
      <c r="N169" s="7">
        <f t="shared" si="43"/>
        <v>77</v>
      </c>
      <c r="O169" s="7">
        <f>原始值!H169+VLOOKUP($H169,怪物强度修正!$A$2:$R$17,COLUMN(O169)-9,FALSE)</f>
        <v>0</v>
      </c>
      <c r="P169" s="7">
        <f>原始值!I169+VLOOKUP($H169,怪物强度修正!$A$2:$R$17,COLUMN(P169)-9,FALSE)</f>
        <v>0</v>
      </c>
      <c r="Q169" s="7">
        <f>原始值!J169+VLOOKUP($H169,怪物强度修正!$A$2:$R$17,COLUMN(Q169)-9,FALSE)</f>
        <v>13</v>
      </c>
      <c r="R169" s="7">
        <f>原始值!K169+VLOOKUP($H169,怪物强度修正!$A$2:$R$17,COLUMN(R169)-9,FALSE)</f>
        <v>13</v>
      </c>
      <c r="S169" s="7">
        <f>原始值!L169+VLOOKUP($H169,怪物强度修正!$A$2:$R$17,COLUMN(S169)-9,FALSE)</f>
        <v>29</v>
      </c>
      <c r="T169" s="7">
        <f>原始值!M169+VLOOKUP($H169,怪物强度修正!$A$2:$R$17,COLUMN(T169)-9,FALSE)</f>
        <v>29</v>
      </c>
      <c r="U169" s="7">
        <f>原始值!N169+VLOOKUP($H169,怪物强度修正!$A$2:$R$17,COLUMN(U169)-9,FALSE)</f>
        <v>1200</v>
      </c>
      <c r="V169" s="7">
        <v>6</v>
      </c>
      <c r="W169" s="7">
        <f>原始值!P169+VLOOKUP($H169,怪物强度修正!$A$2:$R$17,COLUMN(W169)-9,FALSE)</f>
        <v>17</v>
      </c>
      <c r="X169" s="7">
        <f>原始值!Q169+VLOOKUP($H169,怪物强度修正!$A$2:$R$17,COLUMN(X169)-9,FALSE)</f>
        <v>25</v>
      </c>
      <c r="Y169" s="7">
        <f>原始值!R169+VLOOKUP($H169,怪物强度修正!$A$2:$R$17,COLUMN(Y169)-9,FALSE)</f>
        <v>75</v>
      </c>
      <c r="Z169" s="7">
        <f>原始值!S169+VLOOKUP($H169,怪物强度修正!$A$2:$R$17,COLUMN(Z169)-9,FALSE)</f>
        <v>300</v>
      </c>
      <c r="AA169" s="7">
        <f>原始值!T169+VLOOKUP($H169,怪物强度修正!$A$2:$R$17,COLUMN(AA169)-9,FALSE)</f>
        <v>50</v>
      </c>
    </row>
    <row r="170" spans="1:27" s="7" customFormat="1">
      <c r="A170" s="7" t="str">
        <f t="shared" si="41"/>
        <v>PhyType.NewNpcType_347</v>
      </c>
      <c r="B170" s="7" t="s">
        <v>137</v>
      </c>
      <c r="C170" s="7">
        <v>347</v>
      </c>
      <c r="D170" s="6">
        <v>347</v>
      </c>
      <c r="E170" s="6"/>
      <c r="F170" s="6"/>
      <c r="G170" s="6" t="str">
        <f t="shared" si="35"/>
        <v>黑锷蜘蛛头目</v>
      </c>
      <c r="H170" s="6" t="str">
        <f t="shared" si="36"/>
        <v>赤月峡谷</v>
      </c>
      <c r="I170" s="6">
        <f t="shared" si="37"/>
        <v>1529</v>
      </c>
      <c r="J170" s="6"/>
      <c r="K170" s="7">
        <f>原始值!D170+VLOOKUP($H170,怪物强度修正!$A$2:$R$17,COLUMN(K170)-9,FALSE)</f>
        <v>23</v>
      </c>
      <c r="L170" s="7">
        <f>原始值!E170+VLOOKUP($H170,怪物强度修正!$A$2:$R$17,COLUMN(L170)-9,FALSE)</f>
        <v>95</v>
      </c>
      <c r="M170" s="7">
        <f t="shared" si="42"/>
        <v>23</v>
      </c>
      <c r="N170" s="7">
        <f t="shared" si="43"/>
        <v>95</v>
      </c>
      <c r="O170" s="7">
        <f>原始值!H170+VLOOKUP($H170,怪物强度修正!$A$2:$R$17,COLUMN(O170)-9,FALSE)</f>
        <v>0</v>
      </c>
      <c r="P170" s="7">
        <f>原始值!I170+VLOOKUP($H170,怪物强度修正!$A$2:$R$17,COLUMN(P170)-9,FALSE)</f>
        <v>0</v>
      </c>
      <c r="Q170" s="7">
        <f>原始值!J170+VLOOKUP($H170,怪物强度修正!$A$2:$R$17,COLUMN(Q170)-9,FALSE)</f>
        <v>12</v>
      </c>
      <c r="R170" s="7">
        <f>原始值!K170+VLOOKUP($H170,怪物强度修正!$A$2:$R$17,COLUMN(R170)-9,FALSE)</f>
        <v>12</v>
      </c>
      <c r="S170" s="7">
        <f>原始值!L170+VLOOKUP($H170,怪物强度修正!$A$2:$R$17,COLUMN(S170)-9,FALSE)</f>
        <v>32</v>
      </c>
      <c r="T170" s="7">
        <f>原始值!M170+VLOOKUP($H170,怪物强度修正!$A$2:$R$17,COLUMN(T170)-9,FALSE)</f>
        <v>32</v>
      </c>
      <c r="U170" s="7">
        <f>原始值!N170+VLOOKUP($H170,怪物强度修正!$A$2:$R$17,COLUMN(U170)-9,FALSE)</f>
        <v>1920</v>
      </c>
      <c r="V170" s="7">
        <v>7</v>
      </c>
      <c r="W170" s="7">
        <f>原始值!P170+VLOOKUP($H170,怪物强度修正!$A$2:$R$17,COLUMN(W170)-9,FALSE)</f>
        <v>17</v>
      </c>
      <c r="X170" s="7">
        <f>原始值!Q170+VLOOKUP($H170,怪物强度修正!$A$2:$R$17,COLUMN(X170)-9,FALSE)</f>
        <v>17</v>
      </c>
      <c r="Y170" s="7">
        <f>原始值!R170+VLOOKUP($H170,怪物强度修正!$A$2:$R$17,COLUMN(Y170)-9,FALSE)</f>
        <v>75</v>
      </c>
      <c r="Z170" s="7">
        <f>原始值!S170+VLOOKUP($H170,怪物强度修正!$A$2:$R$17,COLUMN(Z170)-9,FALSE)</f>
        <v>300</v>
      </c>
      <c r="AA170" s="7">
        <f>原始值!T170+VLOOKUP($H170,怪物强度修正!$A$2:$R$17,COLUMN(AA170)-9,FALSE)</f>
        <v>50</v>
      </c>
    </row>
    <row r="171" spans="1:27" s="7" customFormat="1">
      <c r="A171" s="7" t="str">
        <f t="shared" si="41"/>
        <v>PhyType.NewNpcType_348</v>
      </c>
      <c r="B171" s="7" t="s">
        <v>137</v>
      </c>
      <c r="C171" s="7">
        <v>348</v>
      </c>
      <c r="D171" s="6">
        <v>348</v>
      </c>
      <c r="E171" s="6"/>
      <c r="F171" s="6"/>
      <c r="G171" s="6" t="str">
        <f t="shared" si="35"/>
        <v>幻影蜘蛛头目</v>
      </c>
      <c r="H171" s="6" t="str">
        <f t="shared" si="36"/>
        <v>赤月峡谷</v>
      </c>
      <c r="I171" s="6">
        <f t="shared" si="37"/>
        <v>1529</v>
      </c>
      <c r="J171" s="6"/>
      <c r="K171" s="7">
        <f>原始值!D171+VLOOKUP($H171,怪物强度修正!$A$2:$R$17,COLUMN(K171)-9,FALSE)</f>
        <v>5</v>
      </c>
      <c r="L171" s="7">
        <f>原始值!E171+VLOOKUP($H171,怪物强度修正!$A$2:$R$17,COLUMN(L171)-9,FALSE)</f>
        <v>5</v>
      </c>
      <c r="M171" s="7">
        <f t="shared" si="42"/>
        <v>5</v>
      </c>
      <c r="N171" s="7">
        <f t="shared" si="43"/>
        <v>5</v>
      </c>
      <c r="O171" s="7">
        <f>原始值!H171+VLOOKUP($H171,怪物强度修正!$A$2:$R$17,COLUMN(O171)-9,FALSE)</f>
        <v>0</v>
      </c>
      <c r="P171" s="7">
        <f>原始值!I171+VLOOKUP($H171,怪物强度修正!$A$2:$R$17,COLUMN(P171)-9,FALSE)</f>
        <v>0</v>
      </c>
      <c r="Q171" s="7">
        <f>原始值!J171+VLOOKUP($H171,怪物强度修正!$A$2:$R$17,COLUMN(Q171)-9,FALSE)</f>
        <v>11</v>
      </c>
      <c r="R171" s="7">
        <f>原始值!K171+VLOOKUP($H171,怪物强度修正!$A$2:$R$17,COLUMN(R171)-9,FALSE)</f>
        <v>11</v>
      </c>
      <c r="S171" s="7">
        <f>原始值!L171+VLOOKUP($H171,怪物强度修正!$A$2:$R$17,COLUMN(S171)-9,FALSE)</f>
        <v>25</v>
      </c>
      <c r="T171" s="7">
        <f>原始值!M171+VLOOKUP($H171,怪物强度修正!$A$2:$R$17,COLUMN(T171)-9,FALSE)</f>
        <v>25</v>
      </c>
      <c r="U171" s="7">
        <f>原始值!N171+VLOOKUP($H171,怪物强度修正!$A$2:$R$17,COLUMN(U171)-9,FALSE)</f>
        <v>1920</v>
      </c>
      <c r="V171" s="7">
        <v>8</v>
      </c>
      <c r="W171" s="7">
        <f>原始值!P171+VLOOKUP($H171,怪物强度修正!$A$2:$R$17,COLUMN(W171)-9,FALSE)</f>
        <v>1</v>
      </c>
      <c r="X171" s="7">
        <f>原始值!Q171+VLOOKUP($H171,怪物强度修正!$A$2:$R$17,COLUMN(X171)-9,FALSE)</f>
        <v>1</v>
      </c>
      <c r="Y171" s="7">
        <f>原始值!R171+VLOOKUP($H171,怪物强度修正!$A$2:$R$17,COLUMN(Y171)-9,FALSE)</f>
        <v>75</v>
      </c>
      <c r="Z171" s="7">
        <f>原始值!S171+VLOOKUP($H171,怪物强度修正!$A$2:$R$17,COLUMN(Z171)-9,FALSE)</f>
        <v>300</v>
      </c>
      <c r="AA171" s="7">
        <f>原始值!T171+VLOOKUP($H171,怪物强度修正!$A$2:$R$17,COLUMN(AA171)-9,FALSE)</f>
        <v>50</v>
      </c>
    </row>
    <row r="172" spans="1:27" s="7" customFormat="1">
      <c r="A172" s="7" t="str">
        <f t="shared" si="41"/>
        <v>PhyType.NewNpcType_349</v>
      </c>
      <c r="B172" s="7" t="s">
        <v>137</v>
      </c>
      <c r="C172" s="7">
        <v>349</v>
      </c>
      <c r="D172" s="6">
        <v>349</v>
      </c>
      <c r="E172" s="6"/>
      <c r="F172" s="6"/>
      <c r="G172" s="6" t="str">
        <f t="shared" si="35"/>
        <v>爆裂蜘蛛头目</v>
      </c>
      <c r="H172" s="6" t="str">
        <f t="shared" si="36"/>
        <v>赤月峡谷</v>
      </c>
      <c r="I172" s="6">
        <f t="shared" si="37"/>
        <v>10</v>
      </c>
      <c r="J172" s="6"/>
      <c r="K172" s="7">
        <f>原始值!D172+VLOOKUP($H172,怪物强度修正!$A$2:$R$17,COLUMN(K172)-9,FALSE)</f>
        <v>29</v>
      </c>
      <c r="L172" s="7">
        <f>原始值!E172+VLOOKUP($H172,怪物强度修正!$A$2:$R$17,COLUMN(L172)-9,FALSE)</f>
        <v>29</v>
      </c>
      <c r="M172" s="7">
        <f t="shared" si="42"/>
        <v>29</v>
      </c>
      <c r="N172" s="7">
        <f t="shared" si="43"/>
        <v>29</v>
      </c>
      <c r="O172" s="7">
        <f>原始值!H172+VLOOKUP($H172,怪物强度修正!$A$2:$R$17,COLUMN(O172)-9,FALSE)</f>
        <v>0</v>
      </c>
      <c r="P172" s="7">
        <f>原始值!I172+VLOOKUP($H172,怪物强度修正!$A$2:$R$17,COLUMN(P172)-9,FALSE)</f>
        <v>0</v>
      </c>
      <c r="Q172" s="7">
        <f>原始值!J172+VLOOKUP($H172,怪物强度修正!$A$2:$R$17,COLUMN(Q172)-9,FALSE)</f>
        <v>1</v>
      </c>
      <c r="R172" s="7">
        <f>原始值!K172+VLOOKUP($H172,怪物强度修正!$A$2:$R$17,COLUMN(R172)-9,FALSE)</f>
        <v>1</v>
      </c>
      <c r="S172" s="7">
        <f>原始值!L172+VLOOKUP($H172,怪物强度修正!$A$2:$R$17,COLUMN(S172)-9,FALSE)</f>
        <v>2</v>
      </c>
      <c r="T172" s="7">
        <f>原始值!M172+VLOOKUP($H172,怪物强度修正!$A$2:$R$17,COLUMN(T172)-9,FALSE)</f>
        <v>2</v>
      </c>
      <c r="U172" s="7">
        <f>原始值!N172+VLOOKUP($H172,怪物强度修正!$A$2:$R$17,COLUMN(U172)-9,FALSE)</f>
        <v>16</v>
      </c>
      <c r="V172" s="7">
        <v>9</v>
      </c>
      <c r="W172" s="7">
        <f>原始值!P172+VLOOKUP($H172,怪物强度修正!$A$2:$R$17,COLUMN(W172)-9,FALSE)</f>
        <v>30</v>
      </c>
      <c r="X172" s="7">
        <f>原始值!Q172+VLOOKUP($H172,怪物强度修正!$A$2:$R$17,COLUMN(X172)-9,FALSE)</f>
        <v>30</v>
      </c>
      <c r="Y172" s="7">
        <f>原始值!R172+VLOOKUP($H172,怪物强度修正!$A$2:$R$17,COLUMN(Y172)-9,FALSE)</f>
        <v>75</v>
      </c>
      <c r="Z172" s="7">
        <f>原始值!S172+VLOOKUP($H172,怪物强度修正!$A$2:$R$17,COLUMN(Z172)-9,FALSE)</f>
        <v>300</v>
      </c>
      <c r="AA172" s="7">
        <f>原始值!T172+VLOOKUP($H172,怪物强度修正!$A$2:$R$17,COLUMN(AA172)-9,FALSE)</f>
        <v>50</v>
      </c>
    </row>
    <row r="173" spans="1:27" s="7" customFormat="1">
      <c r="A173" s="7" t="str">
        <f t="shared" si="41"/>
        <v>PhyType.NewNpcType_350</v>
      </c>
      <c r="B173" s="7" t="s">
        <v>137</v>
      </c>
      <c r="C173" s="7">
        <v>350</v>
      </c>
      <c r="D173" s="6">
        <v>350</v>
      </c>
      <c r="E173" s="6"/>
      <c r="F173" s="6"/>
      <c r="G173" s="6" t="str">
        <f t="shared" si="35"/>
        <v>血巨人头目</v>
      </c>
      <c r="H173" s="6" t="str">
        <f t="shared" si="36"/>
        <v>赤月峡谷</v>
      </c>
      <c r="I173" s="6">
        <f t="shared" si="37"/>
        <v>1699</v>
      </c>
      <c r="J173" s="6"/>
      <c r="K173" s="7">
        <f>原始值!D173+VLOOKUP($H173,怪物强度修正!$A$2:$R$17,COLUMN(K173)-9,FALSE)</f>
        <v>47</v>
      </c>
      <c r="L173" s="7">
        <f>原始值!E173+VLOOKUP($H173,怪物强度修正!$A$2:$R$17,COLUMN(L173)-9,FALSE)</f>
        <v>89</v>
      </c>
      <c r="M173" s="7">
        <f t="shared" si="42"/>
        <v>47</v>
      </c>
      <c r="N173" s="7">
        <f t="shared" si="43"/>
        <v>89</v>
      </c>
      <c r="O173" s="7">
        <f>原始值!H173+VLOOKUP($H173,怪物强度修正!$A$2:$R$17,COLUMN(O173)-9,FALSE)</f>
        <v>0</v>
      </c>
      <c r="P173" s="7">
        <f>原始值!I173+VLOOKUP($H173,怪物强度修正!$A$2:$R$17,COLUMN(P173)-9,FALSE)</f>
        <v>0</v>
      </c>
      <c r="Q173" s="7">
        <f>原始值!J173+VLOOKUP($H173,怪物强度修正!$A$2:$R$17,COLUMN(Q173)-9,FALSE)</f>
        <v>16</v>
      </c>
      <c r="R173" s="7">
        <f>原始值!K173+VLOOKUP($H173,怪物强度修正!$A$2:$R$17,COLUMN(R173)-9,FALSE)</f>
        <v>16</v>
      </c>
      <c r="S173" s="7">
        <f>原始值!L173+VLOOKUP($H173,怪物强度修正!$A$2:$R$17,COLUMN(S173)-9,FALSE)</f>
        <v>32</v>
      </c>
      <c r="T173" s="7">
        <f>原始值!M173+VLOOKUP($H173,怪物强度修正!$A$2:$R$17,COLUMN(T173)-9,FALSE)</f>
        <v>32</v>
      </c>
      <c r="U173" s="7">
        <f>原始值!N173+VLOOKUP($H173,怪物强度修正!$A$2:$R$17,COLUMN(U173)-9,FALSE)</f>
        <v>1920</v>
      </c>
      <c r="V173" s="7">
        <v>10</v>
      </c>
      <c r="W173" s="7">
        <f>原始值!P173+VLOOKUP($H173,怪物强度修正!$A$2:$R$17,COLUMN(W173)-9,FALSE)</f>
        <v>17</v>
      </c>
      <c r="X173" s="7">
        <f>原始值!Q173+VLOOKUP($H173,怪物强度修正!$A$2:$R$17,COLUMN(X173)-9,FALSE)</f>
        <v>20</v>
      </c>
      <c r="Y173" s="7">
        <f>原始值!R173+VLOOKUP($H173,怪物强度修正!$A$2:$R$17,COLUMN(Y173)-9,FALSE)</f>
        <v>75</v>
      </c>
      <c r="Z173" s="7">
        <f>原始值!S173+VLOOKUP($H173,怪物强度修正!$A$2:$R$17,COLUMN(Z173)-9,FALSE)</f>
        <v>300</v>
      </c>
      <c r="AA173" s="7">
        <f>原始值!T173+VLOOKUP($H173,怪物强度修正!$A$2:$R$17,COLUMN(AA173)-9,FALSE)</f>
        <v>50</v>
      </c>
    </row>
    <row r="174" spans="1:27" s="7" customFormat="1">
      <c r="A174" s="7" t="str">
        <f t="shared" si="41"/>
        <v>PhyType.NewNpcType_351</v>
      </c>
      <c r="B174" s="7" t="s">
        <v>137</v>
      </c>
      <c r="C174" s="7">
        <v>351</v>
      </c>
      <c r="D174" s="6">
        <v>351</v>
      </c>
      <c r="E174" s="6"/>
      <c r="F174" s="6"/>
      <c r="G174" s="6" t="str">
        <f t="shared" si="35"/>
        <v>血僵尸头目</v>
      </c>
      <c r="H174" s="6" t="str">
        <f t="shared" si="36"/>
        <v>赤月峡谷</v>
      </c>
      <c r="I174" s="6">
        <f t="shared" si="37"/>
        <v>1359</v>
      </c>
      <c r="J174" s="6"/>
      <c r="K174" s="7">
        <f>原始值!D174+VLOOKUP($H174,怪物强度修正!$A$2:$R$17,COLUMN(K174)-9,FALSE)</f>
        <v>47</v>
      </c>
      <c r="L174" s="7">
        <f>原始值!E174+VLOOKUP($H174,怪物强度修正!$A$2:$R$17,COLUMN(L174)-9,FALSE)</f>
        <v>65</v>
      </c>
      <c r="M174" s="7">
        <f t="shared" si="42"/>
        <v>47</v>
      </c>
      <c r="N174" s="7">
        <f t="shared" si="43"/>
        <v>65</v>
      </c>
      <c r="O174" s="7">
        <f>原始值!H174+VLOOKUP($H174,怪物强度修正!$A$2:$R$17,COLUMN(O174)-9,FALSE)</f>
        <v>0</v>
      </c>
      <c r="P174" s="7">
        <f>原始值!I174+VLOOKUP($H174,怪物强度修正!$A$2:$R$17,COLUMN(P174)-9,FALSE)</f>
        <v>0</v>
      </c>
      <c r="Q174" s="7">
        <f>原始值!J174+VLOOKUP($H174,怪物强度修正!$A$2:$R$17,COLUMN(Q174)-9,FALSE)</f>
        <v>19</v>
      </c>
      <c r="R174" s="7">
        <f>原始值!K174+VLOOKUP($H174,怪物强度修正!$A$2:$R$17,COLUMN(R174)-9,FALSE)</f>
        <v>19</v>
      </c>
      <c r="S174" s="7">
        <f>原始值!L174+VLOOKUP($H174,怪物强度修正!$A$2:$R$17,COLUMN(S174)-9,FALSE)</f>
        <v>32</v>
      </c>
      <c r="T174" s="7">
        <f>原始值!M174+VLOOKUP($H174,怪物强度修正!$A$2:$R$17,COLUMN(T174)-9,FALSE)</f>
        <v>32</v>
      </c>
      <c r="U174" s="7">
        <f>原始值!N174+VLOOKUP($H174,怪物强度修正!$A$2:$R$17,COLUMN(U174)-9,FALSE)</f>
        <v>1920</v>
      </c>
      <c r="V174" s="7">
        <v>11</v>
      </c>
      <c r="W174" s="7">
        <f>原始值!P174+VLOOKUP($H174,怪物强度修正!$A$2:$R$17,COLUMN(W174)-9,FALSE)</f>
        <v>25</v>
      </c>
      <c r="X174" s="7">
        <f>原始值!Q174+VLOOKUP($H174,怪物强度修正!$A$2:$R$17,COLUMN(X174)-9,FALSE)</f>
        <v>10</v>
      </c>
      <c r="Y174" s="7">
        <f>原始值!R174+VLOOKUP($H174,怪物强度修正!$A$2:$R$17,COLUMN(Y174)-9,FALSE)</f>
        <v>75</v>
      </c>
      <c r="Z174" s="7">
        <f>原始值!S174+VLOOKUP($H174,怪物强度修正!$A$2:$R$17,COLUMN(Z174)-9,FALSE)</f>
        <v>300</v>
      </c>
      <c r="AA174" s="7">
        <f>原始值!T174+VLOOKUP($H174,怪物强度修正!$A$2:$R$17,COLUMN(AA174)-9,FALSE)</f>
        <v>50</v>
      </c>
    </row>
    <row r="175" spans="1:27" s="7" customFormat="1">
      <c r="A175" s="7" t="str">
        <f t="shared" ref="A175" si="44">"PhyType.NewNpcType_"&amp;D175</f>
        <v>PhyType.NewNpcType_352</v>
      </c>
      <c r="B175" s="7" t="s">
        <v>137</v>
      </c>
      <c r="C175" s="7">
        <v>352</v>
      </c>
      <c r="D175" s="6">
        <v>352</v>
      </c>
      <c r="E175" s="6"/>
      <c r="F175" s="6"/>
      <c r="G175" s="6" t="str">
        <f t="shared" si="35"/>
        <v>暴牙蜘蛛头目</v>
      </c>
      <c r="H175" s="6" t="str">
        <f t="shared" si="36"/>
        <v>赤月峡谷</v>
      </c>
      <c r="I175" s="6">
        <f t="shared" si="37"/>
        <v>679</v>
      </c>
      <c r="J175" s="6"/>
      <c r="K175" s="7">
        <f>原始值!D175+VLOOKUP($H175,怪物强度修正!$A$2:$R$17,COLUMN(K175)-9,FALSE)</f>
        <v>31</v>
      </c>
      <c r="L175" s="7">
        <f>原始值!E175+VLOOKUP($H175,怪物强度修正!$A$2:$R$17,COLUMN(L175)-9,FALSE)</f>
        <v>46</v>
      </c>
      <c r="M175" s="7">
        <f t="shared" ref="M175" si="45">K175</f>
        <v>31</v>
      </c>
      <c r="N175" s="7">
        <f t="shared" ref="N175" si="46">L175</f>
        <v>46</v>
      </c>
      <c r="O175" s="7">
        <f>原始值!H175+VLOOKUP($H175,怪物强度修正!$A$2:$R$17,COLUMN(O175)-9,FALSE)</f>
        <v>0</v>
      </c>
      <c r="P175" s="7">
        <f>原始值!I175+VLOOKUP($H175,怪物强度修正!$A$2:$R$17,COLUMN(P175)-9,FALSE)</f>
        <v>0</v>
      </c>
      <c r="Q175" s="7">
        <f>原始值!J175+VLOOKUP($H175,怪物强度修正!$A$2:$R$17,COLUMN(Q175)-9,FALSE)</f>
        <v>13</v>
      </c>
      <c r="R175" s="7">
        <f>原始值!K175+VLOOKUP($H175,怪物强度修正!$A$2:$R$17,COLUMN(R175)-9,FALSE)</f>
        <v>13</v>
      </c>
      <c r="S175" s="7">
        <f>原始值!L175+VLOOKUP($H175,怪物强度修正!$A$2:$R$17,COLUMN(S175)-9,FALSE)</f>
        <v>32</v>
      </c>
      <c r="T175" s="7">
        <f>原始值!M175+VLOOKUP($H175,怪物强度修正!$A$2:$R$17,COLUMN(T175)-9,FALSE)</f>
        <v>32</v>
      </c>
      <c r="U175" s="7">
        <f>原始值!N175+VLOOKUP($H175,怪物强度修正!$A$2:$R$17,COLUMN(U175)-9,FALSE)</f>
        <v>800</v>
      </c>
      <c r="V175" s="7">
        <v>12</v>
      </c>
      <c r="W175" s="7">
        <f>原始值!P175+VLOOKUP($H175,怪物强度修正!$A$2:$R$17,COLUMN(W175)-9,FALSE)</f>
        <v>17</v>
      </c>
      <c r="X175" s="7">
        <f>原始值!Q175+VLOOKUP($H175,怪物强度修正!$A$2:$R$17,COLUMN(X175)-9,FALSE)</f>
        <v>17</v>
      </c>
      <c r="Y175" s="7">
        <f>原始值!R175+VLOOKUP($H175,怪物强度修正!$A$2:$R$17,COLUMN(Y175)-9,FALSE)</f>
        <v>75</v>
      </c>
      <c r="Z175" s="7">
        <f>原始值!S175+VLOOKUP($H175,怪物强度修正!$A$2:$R$17,COLUMN(Z175)-9,FALSE)</f>
        <v>300</v>
      </c>
      <c r="AA175" s="7">
        <f>原始值!T175+VLOOKUP($H175,怪物强度修正!$A$2:$R$17,COLUMN(AA175)-9,FALSE)</f>
        <v>50</v>
      </c>
    </row>
    <row r="176" spans="1:27" s="48" customFormat="1">
      <c r="A176" s="48" t="str">
        <f t="shared" si="40"/>
        <v>PhyType.NewNpcType_401</v>
      </c>
      <c r="B176" s="48" t="s">
        <v>137</v>
      </c>
      <c r="C176" s="48">
        <v>401</v>
      </c>
      <c r="D176" s="48">
        <v>401</v>
      </c>
      <c r="G176" s="48" t="str">
        <f t="shared" ref="G176:G207" si="47">G8&amp;"散人精英"</f>
        <v>稻草人散人精英</v>
      </c>
      <c r="H176" s="48" t="str">
        <f t="shared" ref="H176:H207" si="48">H8</f>
        <v>边界村</v>
      </c>
      <c r="I176" s="48">
        <f t="shared" ref="I176:I207" si="49">INT((I8+1)*3-1)</f>
        <v>29</v>
      </c>
      <c r="K176" s="48">
        <f>原始值!D176+VLOOKUP($H176,怪物强度修正!$A$2:$R$17,COLUMN(K176)-9,FALSE)</f>
        <v>2</v>
      </c>
      <c r="L176" s="48">
        <f>原始值!E176+VLOOKUP($H176,怪物强度修正!$A$2:$R$17,COLUMN(L176)-9,FALSE)</f>
        <v>3</v>
      </c>
      <c r="M176" s="48">
        <f t="shared" ref="M176:M220" si="50">K176</f>
        <v>2</v>
      </c>
      <c r="N176" s="48">
        <f t="shared" ref="N176:N220" si="51">L176</f>
        <v>3</v>
      </c>
      <c r="O176" s="48">
        <f>原始值!H176+VLOOKUP($H176,怪物强度修正!$A$2:$R$17,COLUMN(O176)-9,FALSE)</f>
        <v>0</v>
      </c>
      <c r="P176" s="48">
        <f>原始值!I176+VLOOKUP($H176,怪物强度修正!$A$2:$R$17,COLUMN(P176)-9,FALSE)</f>
        <v>0</v>
      </c>
      <c r="Q176" s="48">
        <f>原始值!J176+VLOOKUP($H176,怪物强度修正!$A$2:$R$17,COLUMN(Q176)-9,FALSE)</f>
        <v>0</v>
      </c>
      <c r="R176" s="48">
        <f>原始值!K176+VLOOKUP($H176,怪物强度修正!$A$2:$R$17,COLUMN(R176)-9,FALSE)</f>
        <v>0</v>
      </c>
      <c r="S176" s="48">
        <f>原始值!L176+VLOOKUP($H176,怪物强度修正!$A$2:$R$17,COLUMN(S176)-9,FALSE)</f>
        <v>5</v>
      </c>
      <c r="T176" s="48">
        <f>原始值!M176+VLOOKUP($H176,怪物强度修正!$A$2:$R$17,COLUMN(T176)-9,FALSE)</f>
        <v>5</v>
      </c>
      <c r="U176" s="48">
        <f>原始值!N176+VLOOKUP($H176,怪物强度修正!$A$2:$R$17,COLUMN(U176)-9,FALSE)</f>
        <v>15</v>
      </c>
      <c r="V176" s="48">
        <v>1</v>
      </c>
      <c r="W176" s="48">
        <f>原始值!P176+VLOOKUP($H176,怪物强度修正!$A$2:$R$17,COLUMN(W176)-9,FALSE)</f>
        <v>5</v>
      </c>
      <c r="X176" s="48">
        <f>原始值!Q176+VLOOKUP($H176,怪物强度修正!$A$2:$R$17,COLUMN(X176)-9,FALSE)</f>
        <v>7</v>
      </c>
      <c r="Y176" s="48">
        <f>原始值!R176+VLOOKUP($H176,怪物强度修正!$A$2:$R$17,COLUMN(Y176)-9,FALSE)</f>
        <v>75</v>
      </c>
      <c r="Z176" s="48">
        <f>原始值!S176+VLOOKUP($H176,怪物强度修正!$A$2:$R$17,COLUMN(Z176)-9,FALSE)</f>
        <v>300</v>
      </c>
      <c r="AA176" s="48">
        <f>原始值!T176+VLOOKUP($H176,怪物强度修正!$A$2:$R$17,COLUMN(AA176)-9,FALSE)</f>
        <v>50</v>
      </c>
    </row>
    <row r="177" spans="1:27" s="48" customFormat="1">
      <c r="A177" s="48" t="str">
        <f t="shared" si="40"/>
        <v>PhyType.NewNpcType_402</v>
      </c>
      <c r="B177" s="48" t="s">
        <v>137</v>
      </c>
      <c r="C177" s="48">
        <v>402</v>
      </c>
      <c r="D177" s="48">
        <v>402</v>
      </c>
      <c r="G177" s="48" t="str">
        <f t="shared" si="47"/>
        <v>钉耙猫散人精英</v>
      </c>
      <c r="H177" s="48" t="str">
        <f t="shared" si="48"/>
        <v>边界村</v>
      </c>
      <c r="I177" s="48">
        <f t="shared" si="49"/>
        <v>53</v>
      </c>
      <c r="K177" s="48">
        <f>原始值!D177+VLOOKUP($H177,怪物强度修正!$A$2:$R$17,COLUMN(K177)-9,FALSE)</f>
        <v>3</v>
      </c>
      <c r="L177" s="48">
        <f>原始值!E177+VLOOKUP($H177,怪物强度修正!$A$2:$R$17,COLUMN(L177)-9,FALSE)</f>
        <v>6</v>
      </c>
      <c r="M177" s="48">
        <f t="shared" si="50"/>
        <v>3</v>
      </c>
      <c r="N177" s="48">
        <f t="shared" si="51"/>
        <v>6</v>
      </c>
      <c r="O177" s="48">
        <f>原始值!H177+VLOOKUP($H177,怪物强度修正!$A$2:$R$17,COLUMN(O177)-9,FALSE)</f>
        <v>0</v>
      </c>
      <c r="P177" s="48">
        <f>原始值!I177+VLOOKUP($H177,怪物强度修正!$A$2:$R$17,COLUMN(P177)-9,FALSE)</f>
        <v>0</v>
      </c>
      <c r="Q177" s="48">
        <f>原始值!J177+VLOOKUP($H177,怪物强度修正!$A$2:$R$17,COLUMN(Q177)-9,FALSE)</f>
        <v>0</v>
      </c>
      <c r="R177" s="48">
        <f>原始值!K177+VLOOKUP($H177,怪物强度修正!$A$2:$R$17,COLUMN(R177)-9,FALSE)</f>
        <v>0</v>
      </c>
      <c r="S177" s="48">
        <f>原始值!L177+VLOOKUP($H177,怪物强度修正!$A$2:$R$17,COLUMN(S177)-9,FALSE)</f>
        <v>5</v>
      </c>
      <c r="T177" s="48">
        <f>原始值!M177+VLOOKUP($H177,怪物强度修正!$A$2:$R$17,COLUMN(T177)-9,FALSE)</f>
        <v>5</v>
      </c>
      <c r="U177" s="48">
        <f>原始值!N177+VLOOKUP($H177,怪物强度修正!$A$2:$R$17,COLUMN(U177)-9,FALSE)</f>
        <v>23</v>
      </c>
      <c r="V177" s="48">
        <v>1</v>
      </c>
      <c r="W177" s="48">
        <f>原始值!P177+VLOOKUP($H177,怪物强度修正!$A$2:$R$17,COLUMN(W177)-9,FALSE)</f>
        <v>5</v>
      </c>
      <c r="X177" s="48">
        <f>原始值!Q177+VLOOKUP($H177,怪物强度修正!$A$2:$R$17,COLUMN(X177)-9,FALSE)</f>
        <v>7</v>
      </c>
      <c r="Y177" s="48">
        <f>原始值!R177+VLOOKUP($H177,怪物强度修正!$A$2:$R$17,COLUMN(Y177)-9,FALSE)</f>
        <v>75</v>
      </c>
      <c r="Z177" s="48">
        <f>原始值!S177+VLOOKUP($H177,怪物强度修正!$A$2:$R$17,COLUMN(Z177)-9,FALSE)</f>
        <v>300</v>
      </c>
      <c r="AA177" s="48">
        <f>原始值!T177+VLOOKUP($H177,怪物强度修正!$A$2:$R$17,COLUMN(AA177)-9,FALSE)</f>
        <v>50</v>
      </c>
    </row>
    <row r="178" spans="1:27" s="48" customFormat="1">
      <c r="A178" s="48" t="str">
        <f t="shared" si="40"/>
        <v>PhyType.NewNpcType_403</v>
      </c>
      <c r="B178" s="48" t="s">
        <v>137</v>
      </c>
      <c r="C178" s="48">
        <v>403</v>
      </c>
      <c r="D178" s="48">
        <v>403</v>
      </c>
      <c r="G178" s="48" t="str">
        <f t="shared" si="47"/>
        <v>半兽人散人精英</v>
      </c>
      <c r="H178" s="48" t="str">
        <f t="shared" si="48"/>
        <v>边界村</v>
      </c>
      <c r="I178" s="48">
        <f t="shared" si="49"/>
        <v>74</v>
      </c>
      <c r="K178" s="48">
        <f>原始值!D178+VLOOKUP($H178,怪物强度修正!$A$2:$R$17,COLUMN(K178)-9,FALSE)</f>
        <v>5</v>
      </c>
      <c r="L178" s="48">
        <f>原始值!E178+VLOOKUP($H178,怪物强度修正!$A$2:$R$17,COLUMN(L178)-9,FALSE)</f>
        <v>11</v>
      </c>
      <c r="M178" s="48">
        <f t="shared" si="50"/>
        <v>5</v>
      </c>
      <c r="N178" s="48">
        <f t="shared" si="51"/>
        <v>11</v>
      </c>
      <c r="O178" s="48">
        <f>原始值!H178+VLOOKUP($H178,怪物强度修正!$A$2:$R$17,COLUMN(O178)-9,FALSE)</f>
        <v>0</v>
      </c>
      <c r="P178" s="48">
        <f>原始值!I178+VLOOKUP($H178,怪物强度修正!$A$2:$R$17,COLUMN(P178)-9,FALSE)</f>
        <v>0</v>
      </c>
      <c r="Q178" s="48">
        <f>原始值!J178+VLOOKUP($H178,怪物强度修正!$A$2:$R$17,COLUMN(Q178)-9,FALSE)</f>
        <v>1</v>
      </c>
      <c r="R178" s="48">
        <f>原始值!K178+VLOOKUP($H178,怪物强度修正!$A$2:$R$17,COLUMN(R178)-9,FALSE)</f>
        <v>1</v>
      </c>
      <c r="S178" s="48">
        <f>原始值!L178+VLOOKUP($H178,怪物强度修正!$A$2:$R$17,COLUMN(S178)-9,FALSE)</f>
        <v>5</v>
      </c>
      <c r="T178" s="48">
        <f>原始值!M178+VLOOKUP($H178,怪物强度修正!$A$2:$R$17,COLUMN(T178)-9,FALSE)</f>
        <v>5</v>
      </c>
      <c r="U178" s="48">
        <f>原始值!N178+VLOOKUP($H178,怪物强度修正!$A$2:$R$17,COLUMN(U178)-9,FALSE)</f>
        <v>30</v>
      </c>
      <c r="V178" s="48">
        <v>1</v>
      </c>
      <c r="W178" s="48">
        <f>原始值!P178+VLOOKUP($H178,怪物强度修正!$A$2:$R$17,COLUMN(W178)-9,FALSE)</f>
        <v>6</v>
      </c>
      <c r="X178" s="48">
        <f>原始值!Q178+VLOOKUP($H178,怪物强度修正!$A$2:$R$17,COLUMN(X178)-9,FALSE)</f>
        <v>8</v>
      </c>
      <c r="Y178" s="48">
        <f>原始值!R178+VLOOKUP($H178,怪物强度修正!$A$2:$R$17,COLUMN(Y178)-9,FALSE)</f>
        <v>75</v>
      </c>
      <c r="Z178" s="48">
        <f>原始值!S178+VLOOKUP($H178,怪物强度修正!$A$2:$R$17,COLUMN(Z178)-9,FALSE)</f>
        <v>300</v>
      </c>
      <c r="AA178" s="48">
        <f>原始值!T178+VLOOKUP($H178,怪物强度修正!$A$2:$R$17,COLUMN(AA178)-9,FALSE)</f>
        <v>50</v>
      </c>
    </row>
    <row r="179" spans="1:27" s="48" customFormat="1">
      <c r="A179" s="48" t="str">
        <f t="shared" si="40"/>
        <v>PhyType.NewNpcType_404</v>
      </c>
      <c r="B179" s="48" t="s">
        <v>137</v>
      </c>
      <c r="C179" s="48">
        <v>404</v>
      </c>
      <c r="D179" s="48">
        <v>404</v>
      </c>
      <c r="G179" s="48" t="str">
        <f t="shared" si="47"/>
        <v>半兽人战士散人精英</v>
      </c>
      <c r="H179" s="48" t="str">
        <f t="shared" si="48"/>
        <v>比奇省</v>
      </c>
      <c r="I179" s="48">
        <f t="shared" si="49"/>
        <v>269</v>
      </c>
      <c r="K179" s="48">
        <f>原始值!D179+VLOOKUP($H179,怪物强度修正!$A$2:$R$17,COLUMN(K179)-9,FALSE)</f>
        <v>8</v>
      </c>
      <c r="L179" s="48">
        <f>原始值!E179+VLOOKUP($H179,怪物强度修正!$A$2:$R$17,COLUMN(L179)-9,FALSE)</f>
        <v>18</v>
      </c>
      <c r="M179" s="48">
        <f t="shared" si="50"/>
        <v>8</v>
      </c>
      <c r="N179" s="48">
        <f t="shared" si="51"/>
        <v>18</v>
      </c>
      <c r="O179" s="48">
        <f>原始值!H179+VLOOKUP($H179,怪物强度修正!$A$2:$R$17,COLUMN(O179)-9,FALSE)</f>
        <v>0</v>
      </c>
      <c r="P179" s="48">
        <f>原始值!I179+VLOOKUP($H179,怪物强度修正!$A$2:$R$17,COLUMN(P179)-9,FALSE)</f>
        <v>0</v>
      </c>
      <c r="Q179" s="48">
        <f>原始值!J179+VLOOKUP($H179,怪物强度修正!$A$2:$R$17,COLUMN(Q179)-9,FALSE)</f>
        <v>4</v>
      </c>
      <c r="R179" s="48">
        <f>原始值!K179+VLOOKUP($H179,怪物强度修正!$A$2:$R$17,COLUMN(R179)-9,FALSE)</f>
        <v>4</v>
      </c>
      <c r="S179" s="48">
        <f>原始值!L179+VLOOKUP($H179,怪物强度修正!$A$2:$R$17,COLUMN(S179)-9,FALSE)</f>
        <v>7</v>
      </c>
      <c r="T179" s="48">
        <f>原始值!M179+VLOOKUP($H179,怪物强度修正!$A$2:$R$17,COLUMN(T179)-9,FALSE)</f>
        <v>7</v>
      </c>
      <c r="U179" s="48">
        <f>原始值!N179+VLOOKUP($H179,怪物强度修正!$A$2:$R$17,COLUMN(U179)-9,FALSE)</f>
        <v>100</v>
      </c>
      <c r="V179" s="48">
        <v>1</v>
      </c>
      <c r="W179" s="48">
        <f>原始值!P179+VLOOKUP($H179,怪物强度修正!$A$2:$R$17,COLUMN(W179)-9,FALSE)</f>
        <v>10</v>
      </c>
      <c r="X179" s="48">
        <f>原始值!Q179+VLOOKUP($H179,怪物强度修正!$A$2:$R$17,COLUMN(X179)-9,FALSE)</f>
        <v>13</v>
      </c>
      <c r="Y179" s="48">
        <f>原始值!R179+VLOOKUP($H179,怪物强度修正!$A$2:$R$17,COLUMN(Y179)-9,FALSE)</f>
        <v>75</v>
      </c>
      <c r="Z179" s="48">
        <f>原始值!S179+VLOOKUP($H179,怪物强度修正!$A$2:$R$17,COLUMN(Z179)-9,FALSE)</f>
        <v>300</v>
      </c>
      <c r="AA179" s="48">
        <f>原始值!T179+VLOOKUP($H179,怪物强度修正!$A$2:$R$17,COLUMN(AA179)-9,FALSE)</f>
        <v>50</v>
      </c>
    </row>
    <row r="180" spans="1:27" s="48" customFormat="1">
      <c r="A180" s="48" t="str">
        <f t="shared" si="40"/>
        <v>PhyType.NewNpcType_4041</v>
      </c>
      <c r="B180" s="48" t="s">
        <v>137</v>
      </c>
      <c r="C180" s="48">
        <v>4041</v>
      </c>
      <c r="D180" s="48">
        <v>4041</v>
      </c>
      <c r="G180" s="48" t="str">
        <f t="shared" si="47"/>
        <v>半兽人战士_BJC散人精英</v>
      </c>
      <c r="H180" s="48" t="str">
        <f t="shared" si="48"/>
        <v>边界村</v>
      </c>
      <c r="I180" s="48">
        <f t="shared" si="49"/>
        <v>98</v>
      </c>
      <c r="K180" s="48">
        <f>原始值!D180+VLOOKUP($H180,怪物强度修正!$A$2:$R$17,COLUMN(K180)-9,FALSE)</f>
        <v>6</v>
      </c>
      <c r="L180" s="48">
        <f>原始值!E180+VLOOKUP($H180,怪物强度修正!$A$2:$R$17,COLUMN(L180)-9,FALSE)</f>
        <v>14</v>
      </c>
      <c r="M180" s="48">
        <f t="shared" si="50"/>
        <v>6</v>
      </c>
      <c r="N180" s="48">
        <f t="shared" si="51"/>
        <v>14</v>
      </c>
      <c r="O180" s="48">
        <f>原始值!H180+VLOOKUP($H180,怪物强度修正!$A$2:$R$17,COLUMN(O180)-9,FALSE)</f>
        <v>0</v>
      </c>
      <c r="P180" s="48">
        <f>原始值!I180+VLOOKUP($H180,怪物强度修正!$A$2:$R$17,COLUMN(P180)-9,FALSE)</f>
        <v>0</v>
      </c>
      <c r="Q180" s="48">
        <f>原始值!J180+VLOOKUP($H180,怪物强度修正!$A$2:$R$17,COLUMN(Q180)-9,FALSE)</f>
        <v>1</v>
      </c>
      <c r="R180" s="48">
        <f>原始值!K180+VLOOKUP($H180,怪物强度修正!$A$2:$R$17,COLUMN(R180)-9,FALSE)</f>
        <v>1</v>
      </c>
      <c r="S180" s="48">
        <f>原始值!L180+VLOOKUP($H180,怪物强度修正!$A$2:$R$17,COLUMN(S180)-9,FALSE)</f>
        <v>5</v>
      </c>
      <c r="T180" s="48">
        <f>原始值!M180+VLOOKUP($H180,怪物强度修正!$A$2:$R$17,COLUMN(T180)-9,FALSE)</f>
        <v>5</v>
      </c>
      <c r="U180" s="48">
        <f>原始值!N180+VLOOKUP($H180,怪物强度修正!$A$2:$R$17,COLUMN(U180)-9,FALSE)</f>
        <v>35</v>
      </c>
      <c r="V180" s="48">
        <v>1</v>
      </c>
      <c r="W180" s="48">
        <f>原始值!P180+VLOOKUP($H180,怪物强度修正!$A$2:$R$17,COLUMN(W180)-9,FALSE)</f>
        <v>10</v>
      </c>
      <c r="X180" s="48">
        <f>原始值!Q180+VLOOKUP($H180,怪物强度修正!$A$2:$R$17,COLUMN(X180)-9,FALSE)</f>
        <v>9</v>
      </c>
      <c r="Y180" s="48">
        <f>原始值!R180+VLOOKUP($H180,怪物强度修正!$A$2:$R$17,COLUMN(Y180)-9,FALSE)</f>
        <v>75</v>
      </c>
      <c r="Z180" s="48">
        <f>原始值!S180+VLOOKUP($H180,怪物强度修正!$A$2:$R$17,COLUMN(Z180)-9,FALSE)</f>
        <v>300</v>
      </c>
      <c r="AA180" s="48">
        <f>原始值!T180+VLOOKUP($H180,怪物强度修正!$A$2:$R$17,COLUMN(AA180)-9,FALSE)</f>
        <v>50</v>
      </c>
    </row>
    <row r="181" spans="1:27" s="48" customFormat="1">
      <c r="A181" s="48" t="str">
        <f t="shared" si="40"/>
        <v>PhyType.NewNpcType_4042</v>
      </c>
      <c r="B181" s="48" t="s">
        <v>137</v>
      </c>
      <c r="C181" s="48">
        <v>4042</v>
      </c>
      <c r="D181" s="48">
        <v>4042</v>
      </c>
      <c r="G181" s="48" t="str">
        <f t="shared" si="47"/>
        <v>半兽人战士_BQS散人精英</v>
      </c>
      <c r="H181" s="48" t="str">
        <f t="shared" si="48"/>
        <v>比奇省</v>
      </c>
      <c r="I181" s="48">
        <f t="shared" si="49"/>
        <v>119</v>
      </c>
      <c r="K181" s="48">
        <f>原始值!D181+VLOOKUP($H181,怪物强度修正!$A$2:$R$17,COLUMN(K181)-9,FALSE)</f>
        <v>8</v>
      </c>
      <c r="L181" s="48">
        <f>原始值!E181+VLOOKUP($H181,怪物强度修正!$A$2:$R$17,COLUMN(L181)-9,FALSE)</f>
        <v>17</v>
      </c>
      <c r="M181" s="48">
        <f t="shared" si="50"/>
        <v>8</v>
      </c>
      <c r="N181" s="48">
        <f t="shared" si="51"/>
        <v>17</v>
      </c>
      <c r="O181" s="48">
        <f>原始值!H181+VLOOKUP($H181,怪物强度修正!$A$2:$R$17,COLUMN(O181)-9,FALSE)</f>
        <v>0</v>
      </c>
      <c r="P181" s="48">
        <f>原始值!I181+VLOOKUP($H181,怪物强度修正!$A$2:$R$17,COLUMN(P181)-9,FALSE)</f>
        <v>0</v>
      </c>
      <c r="Q181" s="48">
        <f>原始值!J181+VLOOKUP($H181,怪物强度修正!$A$2:$R$17,COLUMN(Q181)-9,FALSE)</f>
        <v>1</v>
      </c>
      <c r="R181" s="48">
        <f>原始值!K181+VLOOKUP($H181,怪物强度修正!$A$2:$R$17,COLUMN(R181)-9,FALSE)</f>
        <v>1</v>
      </c>
      <c r="S181" s="48">
        <f>原始值!L181+VLOOKUP($H181,怪物强度修正!$A$2:$R$17,COLUMN(S181)-9,FALSE)</f>
        <v>5</v>
      </c>
      <c r="T181" s="48">
        <f>原始值!M181+VLOOKUP($H181,怪物强度修正!$A$2:$R$17,COLUMN(T181)-9,FALSE)</f>
        <v>5</v>
      </c>
      <c r="U181" s="48">
        <f>原始值!N181+VLOOKUP($H181,怪物强度修正!$A$2:$R$17,COLUMN(U181)-9,FALSE)</f>
        <v>45</v>
      </c>
      <c r="V181" s="48">
        <v>1</v>
      </c>
      <c r="W181" s="48">
        <f>原始值!P181+VLOOKUP($H181,怪物强度修正!$A$2:$R$17,COLUMN(W181)-9,FALSE)</f>
        <v>10</v>
      </c>
      <c r="X181" s="48">
        <f>原始值!Q181+VLOOKUP($H181,怪物强度修正!$A$2:$R$17,COLUMN(X181)-9,FALSE)</f>
        <v>10</v>
      </c>
      <c r="Y181" s="48">
        <f>原始值!R181+VLOOKUP($H181,怪物强度修正!$A$2:$R$17,COLUMN(Y181)-9,FALSE)</f>
        <v>75</v>
      </c>
      <c r="Z181" s="48">
        <f>原始值!S181+VLOOKUP($H181,怪物强度修正!$A$2:$R$17,COLUMN(Z181)-9,FALSE)</f>
        <v>300</v>
      </c>
      <c r="AA181" s="48">
        <f>原始值!T181+VLOOKUP($H181,怪物强度修正!$A$2:$R$17,COLUMN(AA181)-9,FALSE)</f>
        <v>50</v>
      </c>
    </row>
    <row r="182" spans="1:27" s="48" customFormat="1">
      <c r="A182" s="48" t="str">
        <f t="shared" si="40"/>
        <v>PhyType.NewNpcType_405</v>
      </c>
      <c r="B182" s="48" t="s">
        <v>137</v>
      </c>
      <c r="C182" s="48">
        <v>405</v>
      </c>
      <c r="D182" s="48">
        <v>405</v>
      </c>
      <c r="G182" s="48" t="str">
        <f t="shared" si="47"/>
        <v>半兽人勇士散人精英</v>
      </c>
      <c r="H182" s="48" t="str">
        <f t="shared" si="48"/>
        <v>比奇省</v>
      </c>
      <c r="I182" s="48">
        <f t="shared" si="49"/>
        <v>899</v>
      </c>
      <c r="K182" s="48">
        <f>原始值!D182+VLOOKUP($H182,怪物强度修正!$A$2:$R$17,COLUMN(K182)-9,FALSE)</f>
        <v>23</v>
      </c>
      <c r="L182" s="48">
        <f>原始值!E182+VLOOKUP($H182,怪物强度修正!$A$2:$R$17,COLUMN(L182)-9,FALSE)</f>
        <v>48</v>
      </c>
      <c r="M182" s="48">
        <f t="shared" si="50"/>
        <v>23</v>
      </c>
      <c r="N182" s="48">
        <f t="shared" si="51"/>
        <v>48</v>
      </c>
      <c r="O182" s="48">
        <f>原始值!H182+VLOOKUP($H182,怪物强度修正!$A$2:$R$17,COLUMN(O182)-9,FALSE)</f>
        <v>0</v>
      </c>
      <c r="P182" s="48">
        <f>原始值!I182+VLOOKUP($H182,怪物强度修正!$A$2:$R$17,COLUMN(P182)-9,FALSE)</f>
        <v>0</v>
      </c>
      <c r="Q182" s="48">
        <f>原始值!J182+VLOOKUP($H182,怪物强度修正!$A$2:$R$17,COLUMN(Q182)-9,FALSE)</f>
        <v>0</v>
      </c>
      <c r="R182" s="48">
        <f>原始值!K182+VLOOKUP($H182,怪物强度修正!$A$2:$R$17,COLUMN(R182)-9,FALSE)</f>
        <v>0</v>
      </c>
      <c r="S182" s="48">
        <f>原始值!L182+VLOOKUP($H182,怪物强度修正!$A$2:$R$17,COLUMN(S182)-9,FALSE)</f>
        <v>5</v>
      </c>
      <c r="T182" s="48">
        <f>原始值!M182+VLOOKUP($H182,怪物强度修正!$A$2:$R$17,COLUMN(T182)-9,FALSE)</f>
        <v>5</v>
      </c>
      <c r="U182" s="48">
        <f>原始值!N182+VLOOKUP($H182,怪物强度修正!$A$2:$R$17,COLUMN(U182)-9,FALSE)</f>
        <v>300</v>
      </c>
      <c r="V182" s="48">
        <v>1</v>
      </c>
      <c r="W182" s="48">
        <f>原始值!P182+VLOOKUP($H182,怪物强度修正!$A$2:$R$17,COLUMN(W182)-9,FALSE)</f>
        <v>13</v>
      </c>
      <c r="X182" s="48">
        <f>原始值!Q182+VLOOKUP($H182,怪物强度修正!$A$2:$R$17,COLUMN(X182)-9,FALSE)</f>
        <v>13</v>
      </c>
      <c r="Y182" s="48">
        <f>原始值!R182+VLOOKUP($H182,怪物强度修正!$A$2:$R$17,COLUMN(Y182)-9,FALSE)</f>
        <v>75</v>
      </c>
      <c r="Z182" s="48">
        <f>原始值!S182+VLOOKUP($H182,怪物强度修正!$A$2:$R$17,COLUMN(Z182)-9,FALSE)</f>
        <v>300</v>
      </c>
      <c r="AA182" s="48">
        <f>原始值!T182+VLOOKUP($H182,怪物强度修正!$A$2:$R$17,COLUMN(AA182)-9,FALSE)</f>
        <v>50</v>
      </c>
    </row>
    <row r="183" spans="1:27" s="48" customFormat="1">
      <c r="A183" s="48" t="str">
        <f t="shared" si="40"/>
        <v>PhyType.NewNpcType_4051</v>
      </c>
      <c r="B183" s="48" t="s">
        <v>137</v>
      </c>
      <c r="C183" s="48">
        <v>4051</v>
      </c>
      <c r="D183" s="48">
        <v>4051</v>
      </c>
      <c r="G183" s="48" t="str">
        <f t="shared" si="47"/>
        <v>半兽人勇士_BJC散人精英</v>
      </c>
      <c r="H183" s="48" t="str">
        <f t="shared" si="48"/>
        <v>边界村</v>
      </c>
      <c r="I183" s="48">
        <f t="shared" si="49"/>
        <v>179</v>
      </c>
      <c r="K183" s="48">
        <f>原始值!D183+VLOOKUP($H183,怪物强度修正!$A$2:$R$17,COLUMN(K183)-9,FALSE)</f>
        <v>9</v>
      </c>
      <c r="L183" s="48">
        <f>原始值!E183+VLOOKUP($H183,怪物强度修正!$A$2:$R$17,COLUMN(L183)-9,FALSE)</f>
        <v>20</v>
      </c>
      <c r="M183" s="48">
        <f t="shared" si="50"/>
        <v>9</v>
      </c>
      <c r="N183" s="48">
        <f t="shared" si="51"/>
        <v>20</v>
      </c>
      <c r="O183" s="48">
        <f>原始值!H183+VLOOKUP($H183,怪物强度修正!$A$2:$R$17,COLUMN(O183)-9,FALSE)</f>
        <v>0</v>
      </c>
      <c r="P183" s="48">
        <f>原始值!I183+VLOOKUP($H183,怪物强度修正!$A$2:$R$17,COLUMN(P183)-9,FALSE)</f>
        <v>0</v>
      </c>
      <c r="Q183" s="48">
        <f>原始值!J183+VLOOKUP($H183,怪物强度修正!$A$2:$R$17,COLUMN(Q183)-9,FALSE)</f>
        <v>3</v>
      </c>
      <c r="R183" s="48">
        <f>原始值!K183+VLOOKUP($H183,怪物强度修正!$A$2:$R$17,COLUMN(R183)-9,FALSE)</f>
        <v>3</v>
      </c>
      <c r="S183" s="48">
        <f>原始值!L183+VLOOKUP($H183,怪物强度修正!$A$2:$R$17,COLUMN(S183)-9,FALSE)</f>
        <v>7</v>
      </c>
      <c r="T183" s="48">
        <f>原始值!M183+VLOOKUP($H183,怪物强度修正!$A$2:$R$17,COLUMN(T183)-9,FALSE)</f>
        <v>7</v>
      </c>
      <c r="U183" s="48">
        <f>原始值!N183+VLOOKUP($H183,怪物强度修正!$A$2:$R$17,COLUMN(U183)-9,FALSE)</f>
        <v>65</v>
      </c>
      <c r="V183" s="48">
        <v>1</v>
      </c>
      <c r="W183" s="48">
        <f>原始值!P183+VLOOKUP($H183,怪物强度修正!$A$2:$R$17,COLUMN(W183)-9,FALSE)</f>
        <v>13</v>
      </c>
      <c r="X183" s="48">
        <f>原始值!Q183+VLOOKUP($H183,怪物强度修正!$A$2:$R$17,COLUMN(X183)-9,FALSE)</f>
        <v>10</v>
      </c>
      <c r="Y183" s="48">
        <f>原始值!R183+VLOOKUP($H183,怪物强度修正!$A$2:$R$17,COLUMN(Y183)-9,FALSE)</f>
        <v>75</v>
      </c>
      <c r="Z183" s="48">
        <f>原始值!S183+VLOOKUP($H183,怪物强度修正!$A$2:$R$17,COLUMN(Z183)-9,FALSE)</f>
        <v>300</v>
      </c>
      <c r="AA183" s="48">
        <f>原始值!T183+VLOOKUP($H183,怪物强度修正!$A$2:$R$17,COLUMN(AA183)-9,FALSE)</f>
        <v>50</v>
      </c>
    </row>
    <row r="184" spans="1:27" s="48" customFormat="1">
      <c r="A184" s="48" t="str">
        <f t="shared" si="40"/>
        <v>PhyType.NewNpcType_4052</v>
      </c>
      <c r="B184" s="48" t="s">
        <v>137</v>
      </c>
      <c r="C184" s="48">
        <v>4052</v>
      </c>
      <c r="D184" s="48">
        <v>4052</v>
      </c>
      <c r="G184" s="48" t="str">
        <f t="shared" si="47"/>
        <v>半兽人勇士_BQS散人精英</v>
      </c>
      <c r="H184" s="48" t="str">
        <f t="shared" si="48"/>
        <v>比奇省</v>
      </c>
      <c r="I184" s="48">
        <f t="shared" si="49"/>
        <v>179</v>
      </c>
      <c r="K184" s="48">
        <f>原始值!D184+VLOOKUP($H184,怪物强度修正!$A$2:$R$17,COLUMN(K184)-9,FALSE)</f>
        <v>9</v>
      </c>
      <c r="L184" s="48">
        <f>原始值!E184+VLOOKUP($H184,怪物强度修正!$A$2:$R$17,COLUMN(L184)-9,FALSE)</f>
        <v>20</v>
      </c>
      <c r="M184" s="48">
        <f t="shared" si="50"/>
        <v>9</v>
      </c>
      <c r="N184" s="48">
        <f t="shared" si="51"/>
        <v>20</v>
      </c>
      <c r="O184" s="48">
        <f>原始值!H184+VLOOKUP($H184,怪物强度修正!$A$2:$R$17,COLUMN(O184)-9,FALSE)</f>
        <v>0</v>
      </c>
      <c r="P184" s="48">
        <f>原始值!I184+VLOOKUP($H184,怪物强度修正!$A$2:$R$17,COLUMN(P184)-9,FALSE)</f>
        <v>0</v>
      </c>
      <c r="Q184" s="48">
        <f>原始值!J184+VLOOKUP($H184,怪物强度修正!$A$2:$R$17,COLUMN(Q184)-9,FALSE)</f>
        <v>3</v>
      </c>
      <c r="R184" s="48">
        <f>原始值!K184+VLOOKUP($H184,怪物强度修正!$A$2:$R$17,COLUMN(R184)-9,FALSE)</f>
        <v>3</v>
      </c>
      <c r="S184" s="48">
        <f>原始值!L184+VLOOKUP($H184,怪物强度修正!$A$2:$R$17,COLUMN(S184)-9,FALSE)</f>
        <v>7</v>
      </c>
      <c r="T184" s="48">
        <f>原始值!M184+VLOOKUP($H184,怪物强度修正!$A$2:$R$17,COLUMN(T184)-9,FALSE)</f>
        <v>7</v>
      </c>
      <c r="U184" s="48">
        <f>原始值!N184+VLOOKUP($H184,怪物强度修正!$A$2:$R$17,COLUMN(U184)-9,FALSE)</f>
        <v>65</v>
      </c>
      <c r="V184" s="48">
        <v>1</v>
      </c>
      <c r="W184" s="48">
        <f>原始值!P184+VLOOKUP($H184,怪物强度修正!$A$2:$R$17,COLUMN(W184)-9,FALSE)</f>
        <v>13</v>
      </c>
      <c r="X184" s="48">
        <f>原始值!Q184+VLOOKUP($H184,怪物强度修正!$A$2:$R$17,COLUMN(X184)-9,FALSE)</f>
        <v>11</v>
      </c>
      <c r="Y184" s="48">
        <f>原始值!R184+VLOOKUP($H184,怪物强度修正!$A$2:$R$17,COLUMN(Y184)-9,FALSE)</f>
        <v>75</v>
      </c>
      <c r="Z184" s="48">
        <f>原始值!S184+VLOOKUP($H184,怪物强度修正!$A$2:$R$17,COLUMN(Z184)-9,FALSE)</f>
        <v>300</v>
      </c>
      <c r="AA184" s="48">
        <f>原始值!T184+VLOOKUP($H184,怪物强度修正!$A$2:$R$17,COLUMN(AA184)-9,FALSE)</f>
        <v>50</v>
      </c>
    </row>
    <row r="185" spans="1:27" s="48" customFormat="1">
      <c r="A185" s="48" t="str">
        <f t="shared" si="40"/>
        <v>PhyType.NewNpcType_406</v>
      </c>
      <c r="B185" s="48" t="s">
        <v>137</v>
      </c>
      <c r="C185" s="48">
        <v>406</v>
      </c>
      <c r="D185" s="48">
        <v>406</v>
      </c>
      <c r="G185" s="48" t="str">
        <f t="shared" si="47"/>
        <v>鹿散人精英</v>
      </c>
      <c r="H185" s="48" t="str">
        <f t="shared" si="48"/>
        <v>边界村</v>
      </c>
      <c r="I185" s="48">
        <f t="shared" si="49"/>
        <v>44</v>
      </c>
      <c r="K185" s="48">
        <f>原始值!D185+VLOOKUP($H185,怪物强度修正!$A$2:$R$17,COLUMN(K185)-9,FALSE)</f>
        <v>3</v>
      </c>
      <c r="L185" s="48">
        <f>原始值!E185+VLOOKUP($H185,怪物强度修正!$A$2:$R$17,COLUMN(L185)-9,FALSE)</f>
        <v>6</v>
      </c>
      <c r="M185" s="48">
        <f t="shared" si="50"/>
        <v>3</v>
      </c>
      <c r="N185" s="48">
        <f t="shared" si="51"/>
        <v>6</v>
      </c>
      <c r="O185" s="48">
        <f>原始值!H185+VLOOKUP($H185,怪物强度修正!$A$2:$R$17,COLUMN(O185)-9,FALSE)</f>
        <v>0</v>
      </c>
      <c r="P185" s="48">
        <f>原始值!I185+VLOOKUP($H185,怪物强度修正!$A$2:$R$17,COLUMN(P185)-9,FALSE)</f>
        <v>0</v>
      </c>
      <c r="Q185" s="48">
        <f>原始值!J185+VLOOKUP($H185,怪物强度修正!$A$2:$R$17,COLUMN(Q185)-9,FALSE)</f>
        <v>0</v>
      </c>
      <c r="R185" s="48">
        <f>原始值!K185+VLOOKUP($H185,怪物强度修正!$A$2:$R$17,COLUMN(R185)-9,FALSE)</f>
        <v>0</v>
      </c>
      <c r="S185" s="48">
        <f>原始值!L185+VLOOKUP($H185,怪物强度修正!$A$2:$R$17,COLUMN(S185)-9,FALSE)</f>
        <v>5</v>
      </c>
      <c r="T185" s="48">
        <f>原始值!M185+VLOOKUP($H185,怪物强度修正!$A$2:$R$17,COLUMN(T185)-9,FALSE)</f>
        <v>5</v>
      </c>
      <c r="U185" s="48">
        <f>原始值!N185+VLOOKUP($H185,怪物强度修正!$A$2:$R$17,COLUMN(U185)-9,FALSE)</f>
        <v>15</v>
      </c>
      <c r="V185" s="48">
        <v>1</v>
      </c>
      <c r="W185" s="48">
        <f>原始值!P185+VLOOKUP($H185,怪物强度修正!$A$2:$R$17,COLUMN(W185)-9,FALSE)</f>
        <v>12</v>
      </c>
      <c r="X185" s="48">
        <f>原始值!Q185+VLOOKUP($H185,怪物强度修正!$A$2:$R$17,COLUMN(X185)-9,FALSE)</f>
        <v>1</v>
      </c>
      <c r="Y185" s="48">
        <f>原始值!R185+VLOOKUP($H185,怪物强度修正!$A$2:$R$17,COLUMN(Y185)-9,FALSE)</f>
        <v>75</v>
      </c>
      <c r="Z185" s="48">
        <f>原始值!S185+VLOOKUP($H185,怪物强度修正!$A$2:$R$17,COLUMN(Z185)-9,FALSE)</f>
        <v>300</v>
      </c>
      <c r="AA185" s="48">
        <f>原始值!T185+VLOOKUP($H185,怪物强度修正!$A$2:$R$17,COLUMN(AA185)-9,FALSE)</f>
        <v>50</v>
      </c>
    </row>
    <row r="186" spans="1:27" s="48" customFormat="1">
      <c r="A186" s="48" t="str">
        <f t="shared" si="40"/>
        <v>PhyType.NewNpcType_407</v>
      </c>
      <c r="B186" s="48" t="s">
        <v>137</v>
      </c>
      <c r="C186" s="48">
        <v>407</v>
      </c>
      <c r="D186" s="48">
        <v>407</v>
      </c>
      <c r="G186" s="48" t="str">
        <f t="shared" si="47"/>
        <v>残肢僵尸散人精英</v>
      </c>
      <c r="H186" s="48" t="str">
        <f t="shared" si="48"/>
        <v>比奇矿区</v>
      </c>
      <c r="I186" s="48">
        <f t="shared" si="49"/>
        <v>419</v>
      </c>
      <c r="K186" s="48">
        <f>原始值!D186+VLOOKUP($H186,怪物强度修正!$A$2:$R$17,COLUMN(K186)-9,FALSE)</f>
        <v>8</v>
      </c>
      <c r="L186" s="48">
        <f>原始值!E186+VLOOKUP($H186,怪物强度修正!$A$2:$R$17,COLUMN(L186)-9,FALSE)</f>
        <v>18</v>
      </c>
      <c r="M186" s="48">
        <f t="shared" si="50"/>
        <v>8</v>
      </c>
      <c r="N186" s="48">
        <f t="shared" si="51"/>
        <v>18</v>
      </c>
      <c r="O186" s="48">
        <f>原始值!H186+VLOOKUP($H186,怪物强度修正!$A$2:$R$17,COLUMN(O186)-9,FALSE)</f>
        <v>0</v>
      </c>
      <c r="P186" s="48">
        <f>原始值!I186+VLOOKUP($H186,怪物强度修正!$A$2:$R$17,COLUMN(P186)-9,FALSE)</f>
        <v>0</v>
      </c>
      <c r="Q186" s="48">
        <f>原始值!J186+VLOOKUP($H186,怪物强度修正!$A$2:$R$17,COLUMN(Q186)-9,FALSE)</f>
        <v>3</v>
      </c>
      <c r="R186" s="48">
        <f>原始值!K186+VLOOKUP($H186,怪物强度修正!$A$2:$R$17,COLUMN(R186)-9,FALSE)</f>
        <v>3</v>
      </c>
      <c r="S186" s="48">
        <f>原始值!L186+VLOOKUP($H186,怪物强度修正!$A$2:$R$17,COLUMN(S186)-9,FALSE)</f>
        <v>7</v>
      </c>
      <c r="T186" s="48">
        <f>原始值!M186+VLOOKUP($H186,怪物强度修正!$A$2:$R$17,COLUMN(T186)-9,FALSE)</f>
        <v>7</v>
      </c>
      <c r="U186" s="48">
        <f>原始值!N186+VLOOKUP($H186,怪物强度修正!$A$2:$R$17,COLUMN(U186)-9,FALSE)</f>
        <v>155</v>
      </c>
      <c r="V186" s="48">
        <v>1</v>
      </c>
      <c r="W186" s="48">
        <f>原始值!P186+VLOOKUP($H186,怪物强度修正!$A$2:$R$17,COLUMN(W186)-9,FALSE)</f>
        <v>12</v>
      </c>
      <c r="X186" s="48">
        <f>原始值!Q186+VLOOKUP($H186,怪物强度修正!$A$2:$R$17,COLUMN(X186)-9,FALSE)</f>
        <v>15</v>
      </c>
      <c r="Y186" s="48">
        <f>原始值!R186+VLOOKUP($H186,怪物强度修正!$A$2:$R$17,COLUMN(Y186)-9,FALSE)</f>
        <v>75</v>
      </c>
      <c r="Z186" s="48">
        <f>原始值!S186+VLOOKUP($H186,怪物强度修正!$A$2:$R$17,COLUMN(Z186)-9,FALSE)</f>
        <v>300</v>
      </c>
      <c r="AA186" s="48">
        <f>原始值!T186+VLOOKUP($H186,怪物强度修正!$A$2:$R$17,COLUMN(AA186)-9,FALSE)</f>
        <v>50</v>
      </c>
    </row>
    <row r="187" spans="1:27" s="48" customFormat="1">
      <c r="A187" s="48" t="str">
        <f t="shared" si="40"/>
        <v>PhyType.NewNpcType_408</v>
      </c>
      <c r="B187" s="48" t="s">
        <v>137</v>
      </c>
      <c r="C187" s="48">
        <v>408</v>
      </c>
      <c r="D187" s="48">
        <v>408</v>
      </c>
      <c r="G187" s="48" t="str">
        <f t="shared" si="47"/>
        <v>直立僵尸散人精英</v>
      </c>
      <c r="H187" s="48" t="str">
        <f t="shared" si="48"/>
        <v>比奇矿区</v>
      </c>
      <c r="I187" s="48">
        <f t="shared" si="49"/>
        <v>449</v>
      </c>
      <c r="K187" s="48">
        <f>原始值!D187+VLOOKUP($H187,怪物强度修正!$A$2:$R$17,COLUMN(K187)-9,FALSE)</f>
        <v>8</v>
      </c>
      <c r="L187" s="48">
        <f>原始值!E187+VLOOKUP($H187,怪物强度修正!$A$2:$R$17,COLUMN(L187)-9,FALSE)</f>
        <v>23</v>
      </c>
      <c r="M187" s="48">
        <f t="shared" si="50"/>
        <v>8</v>
      </c>
      <c r="N187" s="48">
        <f t="shared" si="51"/>
        <v>23</v>
      </c>
      <c r="O187" s="48">
        <f>原始值!H187+VLOOKUP($H187,怪物强度修正!$A$2:$R$17,COLUMN(O187)-9,FALSE)</f>
        <v>0</v>
      </c>
      <c r="P187" s="48">
        <f>原始值!I187+VLOOKUP($H187,怪物强度修正!$A$2:$R$17,COLUMN(P187)-9,FALSE)</f>
        <v>0</v>
      </c>
      <c r="Q187" s="48">
        <f>原始值!J187+VLOOKUP($H187,怪物强度修正!$A$2:$R$17,COLUMN(Q187)-9,FALSE)</f>
        <v>3</v>
      </c>
      <c r="R187" s="48">
        <f>原始值!K187+VLOOKUP($H187,怪物强度修正!$A$2:$R$17,COLUMN(R187)-9,FALSE)</f>
        <v>3</v>
      </c>
      <c r="S187" s="48">
        <f>原始值!L187+VLOOKUP($H187,怪物强度修正!$A$2:$R$17,COLUMN(S187)-9,FALSE)</f>
        <v>7</v>
      </c>
      <c r="T187" s="48">
        <f>原始值!M187+VLOOKUP($H187,怪物强度修正!$A$2:$R$17,COLUMN(T187)-9,FALSE)</f>
        <v>7</v>
      </c>
      <c r="U187" s="48">
        <f>原始值!N187+VLOOKUP($H187,怪物强度修正!$A$2:$R$17,COLUMN(U187)-9,FALSE)</f>
        <v>155</v>
      </c>
      <c r="V187" s="48">
        <v>1</v>
      </c>
      <c r="W187" s="48">
        <f>原始值!P187+VLOOKUP($H187,怪物强度修正!$A$2:$R$17,COLUMN(W187)-9,FALSE)</f>
        <v>12</v>
      </c>
      <c r="X187" s="48">
        <f>原始值!Q187+VLOOKUP($H187,怪物强度修正!$A$2:$R$17,COLUMN(X187)-9,FALSE)</f>
        <v>15</v>
      </c>
      <c r="Y187" s="48">
        <f>原始值!R187+VLOOKUP($H187,怪物强度修正!$A$2:$R$17,COLUMN(Y187)-9,FALSE)</f>
        <v>75</v>
      </c>
      <c r="Z187" s="48">
        <f>原始值!S187+VLOOKUP($H187,怪物强度修正!$A$2:$R$17,COLUMN(Z187)-9,FALSE)</f>
        <v>300</v>
      </c>
      <c r="AA187" s="48">
        <f>原始值!T187+VLOOKUP($H187,怪物强度修正!$A$2:$R$17,COLUMN(AA187)-9,FALSE)</f>
        <v>50</v>
      </c>
    </row>
    <row r="188" spans="1:27" s="48" customFormat="1">
      <c r="A188" s="48" t="str">
        <f t="shared" si="40"/>
        <v>PhyType.NewNpcType_409</v>
      </c>
      <c r="B188" s="48" t="s">
        <v>137</v>
      </c>
      <c r="C188" s="48">
        <v>409</v>
      </c>
      <c r="D188" s="48">
        <v>409</v>
      </c>
      <c r="G188" s="48" t="str">
        <f t="shared" si="47"/>
        <v>和尚僵尸散人精英</v>
      </c>
      <c r="H188" s="48" t="str">
        <f t="shared" si="48"/>
        <v>比奇矿区</v>
      </c>
      <c r="I188" s="48">
        <f t="shared" si="49"/>
        <v>479</v>
      </c>
      <c r="K188" s="48">
        <f>原始值!D188+VLOOKUP($H188,怪物强度修正!$A$2:$R$17,COLUMN(K188)-9,FALSE)</f>
        <v>12</v>
      </c>
      <c r="L188" s="48">
        <f>原始值!E188+VLOOKUP($H188,怪物强度修正!$A$2:$R$17,COLUMN(L188)-9,FALSE)</f>
        <v>23</v>
      </c>
      <c r="M188" s="48">
        <f t="shared" si="50"/>
        <v>12</v>
      </c>
      <c r="N188" s="48">
        <f t="shared" si="51"/>
        <v>23</v>
      </c>
      <c r="O188" s="48">
        <f>原始值!H188+VLOOKUP($H188,怪物强度修正!$A$2:$R$17,COLUMN(O188)-9,FALSE)</f>
        <v>0</v>
      </c>
      <c r="P188" s="48">
        <f>原始值!I188+VLOOKUP($H188,怪物强度修正!$A$2:$R$17,COLUMN(P188)-9,FALSE)</f>
        <v>0</v>
      </c>
      <c r="Q188" s="48">
        <f>原始值!J188+VLOOKUP($H188,怪物强度修正!$A$2:$R$17,COLUMN(Q188)-9,FALSE)</f>
        <v>3</v>
      </c>
      <c r="R188" s="48">
        <f>原始值!K188+VLOOKUP($H188,怪物强度修正!$A$2:$R$17,COLUMN(R188)-9,FALSE)</f>
        <v>3</v>
      </c>
      <c r="S188" s="48">
        <f>原始值!L188+VLOOKUP($H188,怪物强度修正!$A$2:$R$17,COLUMN(S188)-9,FALSE)</f>
        <v>7</v>
      </c>
      <c r="T188" s="48">
        <f>原始值!M188+VLOOKUP($H188,怪物强度修正!$A$2:$R$17,COLUMN(T188)-9,FALSE)</f>
        <v>7</v>
      </c>
      <c r="U188" s="48">
        <f>原始值!N188+VLOOKUP($H188,怪物强度修正!$A$2:$R$17,COLUMN(U188)-9,FALSE)</f>
        <v>155</v>
      </c>
      <c r="V188" s="48">
        <v>1</v>
      </c>
      <c r="W188" s="48">
        <f>原始值!P188+VLOOKUP($H188,怪物强度修正!$A$2:$R$17,COLUMN(W188)-9,FALSE)</f>
        <v>12</v>
      </c>
      <c r="X188" s="48">
        <f>原始值!Q188+VLOOKUP($H188,怪物强度修正!$A$2:$R$17,COLUMN(X188)-9,FALSE)</f>
        <v>15</v>
      </c>
      <c r="Y188" s="48">
        <f>原始值!R188+VLOOKUP($H188,怪物强度修正!$A$2:$R$17,COLUMN(Y188)-9,FALSE)</f>
        <v>75</v>
      </c>
      <c r="Z188" s="48">
        <f>原始值!S188+VLOOKUP($H188,怪物强度修正!$A$2:$R$17,COLUMN(Z188)-9,FALSE)</f>
        <v>300</v>
      </c>
      <c r="AA188" s="48">
        <f>原始值!T188+VLOOKUP($H188,怪物强度修正!$A$2:$R$17,COLUMN(AA188)-9,FALSE)</f>
        <v>50</v>
      </c>
    </row>
    <row r="189" spans="1:27" s="48" customFormat="1">
      <c r="A189" s="48" t="str">
        <f t="shared" si="40"/>
        <v>PhyType.NewNpcType_410</v>
      </c>
      <c r="B189" s="48" t="s">
        <v>137</v>
      </c>
      <c r="C189" s="48">
        <v>410</v>
      </c>
      <c r="D189" s="48">
        <v>410</v>
      </c>
      <c r="G189" s="48" t="str">
        <f t="shared" si="47"/>
        <v>道士僵尸散人精英</v>
      </c>
      <c r="H189" s="48" t="str">
        <f t="shared" si="48"/>
        <v>比奇矿区</v>
      </c>
      <c r="I189" s="48">
        <f t="shared" si="49"/>
        <v>509</v>
      </c>
      <c r="K189" s="48">
        <f>原始值!D189+VLOOKUP($H189,怪物强度修正!$A$2:$R$17,COLUMN(K189)-9,FALSE)</f>
        <v>12</v>
      </c>
      <c r="L189" s="48">
        <f>原始值!E189+VLOOKUP($H189,怪物强度修正!$A$2:$R$17,COLUMN(L189)-9,FALSE)</f>
        <v>26</v>
      </c>
      <c r="M189" s="48">
        <f t="shared" si="50"/>
        <v>12</v>
      </c>
      <c r="N189" s="48">
        <f t="shared" si="51"/>
        <v>26</v>
      </c>
      <c r="O189" s="48">
        <f>原始值!H189+VLOOKUP($H189,怪物强度修正!$A$2:$R$17,COLUMN(O189)-9,FALSE)</f>
        <v>0</v>
      </c>
      <c r="P189" s="48">
        <f>原始值!I189+VLOOKUP($H189,怪物强度修正!$A$2:$R$17,COLUMN(P189)-9,FALSE)</f>
        <v>0</v>
      </c>
      <c r="Q189" s="48">
        <f>原始值!J189+VLOOKUP($H189,怪物强度修正!$A$2:$R$17,COLUMN(Q189)-9,FALSE)</f>
        <v>3</v>
      </c>
      <c r="R189" s="48">
        <f>原始值!K189+VLOOKUP($H189,怪物强度修正!$A$2:$R$17,COLUMN(R189)-9,FALSE)</f>
        <v>3</v>
      </c>
      <c r="S189" s="48">
        <f>原始值!L189+VLOOKUP($H189,怪物强度修正!$A$2:$R$17,COLUMN(S189)-9,FALSE)</f>
        <v>8</v>
      </c>
      <c r="T189" s="48">
        <f>原始值!M189+VLOOKUP($H189,怪物强度修正!$A$2:$R$17,COLUMN(T189)-9,FALSE)</f>
        <v>8</v>
      </c>
      <c r="U189" s="48">
        <f>原始值!N189+VLOOKUP($H189,怪物强度修正!$A$2:$R$17,COLUMN(U189)-9,FALSE)</f>
        <v>155</v>
      </c>
      <c r="V189" s="48">
        <v>1</v>
      </c>
      <c r="W189" s="48">
        <f>原始值!P189+VLOOKUP($H189,怪物强度修正!$A$2:$R$17,COLUMN(W189)-9,FALSE)</f>
        <v>12</v>
      </c>
      <c r="X189" s="48">
        <f>原始值!Q189+VLOOKUP($H189,怪物强度修正!$A$2:$R$17,COLUMN(X189)-9,FALSE)</f>
        <v>15</v>
      </c>
      <c r="Y189" s="48">
        <f>原始值!R189+VLOOKUP($H189,怪物强度修正!$A$2:$R$17,COLUMN(Y189)-9,FALSE)</f>
        <v>75</v>
      </c>
      <c r="Z189" s="48">
        <f>原始值!S189+VLOOKUP($H189,怪物强度修正!$A$2:$R$17,COLUMN(Z189)-9,FALSE)</f>
        <v>300</v>
      </c>
      <c r="AA189" s="48">
        <f>原始值!T189+VLOOKUP($H189,怪物强度修正!$A$2:$R$17,COLUMN(AA189)-9,FALSE)</f>
        <v>50</v>
      </c>
    </row>
    <row r="190" spans="1:27" s="48" customFormat="1">
      <c r="A190" s="48" t="str">
        <f t="shared" si="40"/>
        <v>PhyType.NewNpcType_411</v>
      </c>
      <c r="B190" s="48" t="s">
        <v>137</v>
      </c>
      <c r="C190" s="48">
        <v>411</v>
      </c>
      <c r="D190" s="48">
        <v>411</v>
      </c>
      <c r="G190" s="48" t="str">
        <f t="shared" si="47"/>
        <v>矿区小蝙蝠散人精英</v>
      </c>
      <c r="H190" s="48" t="str">
        <f t="shared" si="48"/>
        <v>比奇矿区</v>
      </c>
      <c r="I190" s="48">
        <f t="shared" si="49"/>
        <v>74</v>
      </c>
      <c r="K190" s="48">
        <f>原始值!D190+VLOOKUP($H190,怪物强度修正!$A$2:$R$17,COLUMN(K190)-9,FALSE)</f>
        <v>6</v>
      </c>
      <c r="L190" s="48">
        <f>原始值!E190+VLOOKUP($H190,怪物强度修正!$A$2:$R$17,COLUMN(L190)-9,FALSE)</f>
        <v>9</v>
      </c>
      <c r="M190" s="48">
        <f t="shared" si="50"/>
        <v>6</v>
      </c>
      <c r="N190" s="48">
        <f t="shared" si="51"/>
        <v>9</v>
      </c>
      <c r="O190" s="48">
        <f>原始值!H190+VLOOKUP($H190,怪物强度修正!$A$2:$R$17,COLUMN(O190)-9,FALSE)</f>
        <v>0</v>
      </c>
      <c r="P190" s="48">
        <f>原始值!I190+VLOOKUP($H190,怪物强度修正!$A$2:$R$17,COLUMN(P190)-9,FALSE)</f>
        <v>0</v>
      </c>
      <c r="Q190" s="48">
        <f>原始值!J190+VLOOKUP($H190,怪物强度修正!$A$2:$R$17,COLUMN(Q190)-9,FALSE)</f>
        <v>3</v>
      </c>
      <c r="R190" s="48">
        <f>原始值!K190+VLOOKUP($H190,怪物强度修正!$A$2:$R$17,COLUMN(R190)-9,FALSE)</f>
        <v>3</v>
      </c>
      <c r="S190" s="48">
        <f>原始值!L190+VLOOKUP($H190,怪物强度修正!$A$2:$R$17,COLUMN(S190)-9,FALSE)</f>
        <v>5</v>
      </c>
      <c r="T190" s="48">
        <f>原始值!M190+VLOOKUP($H190,怪物强度修正!$A$2:$R$17,COLUMN(T190)-9,FALSE)</f>
        <v>5</v>
      </c>
      <c r="U190" s="48">
        <f>原始值!N190+VLOOKUP($H190,怪物强度修正!$A$2:$R$17,COLUMN(U190)-9,FALSE)</f>
        <v>25</v>
      </c>
      <c r="V190" s="48">
        <v>1</v>
      </c>
      <c r="W190" s="48">
        <f>原始值!P190+VLOOKUP($H190,怪物强度修正!$A$2:$R$17,COLUMN(W190)-9,FALSE)</f>
        <v>11</v>
      </c>
      <c r="X190" s="48">
        <f>原始值!Q190+VLOOKUP($H190,怪物强度修正!$A$2:$R$17,COLUMN(X190)-9,FALSE)</f>
        <v>25</v>
      </c>
      <c r="Y190" s="48">
        <f>原始值!R190+VLOOKUP($H190,怪物强度修正!$A$2:$R$17,COLUMN(Y190)-9,FALSE)</f>
        <v>75</v>
      </c>
      <c r="Z190" s="48">
        <f>原始值!S190+VLOOKUP($H190,怪物强度修正!$A$2:$R$17,COLUMN(Z190)-9,FALSE)</f>
        <v>300</v>
      </c>
      <c r="AA190" s="48">
        <f>原始值!T190+VLOOKUP($H190,怪物强度修正!$A$2:$R$17,COLUMN(AA190)-9,FALSE)</f>
        <v>50</v>
      </c>
    </row>
    <row r="191" spans="1:27" s="48" customFormat="1">
      <c r="A191" s="48" t="str">
        <f t="shared" si="40"/>
        <v>PhyType.NewNpcType_412</v>
      </c>
      <c r="B191" s="48" t="s">
        <v>137</v>
      </c>
      <c r="C191" s="48">
        <v>412</v>
      </c>
      <c r="D191" s="48">
        <v>412</v>
      </c>
      <c r="G191" s="48" t="str">
        <f t="shared" si="47"/>
        <v>暗黑战士散人精英</v>
      </c>
      <c r="H191" s="48" t="str">
        <f t="shared" si="48"/>
        <v>沃玛寺庙</v>
      </c>
      <c r="I191" s="48">
        <f t="shared" si="49"/>
        <v>599</v>
      </c>
      <c r="K191" s="48">
        <f>原始值!D191+VLOOKUP($H191,怪物强度修正!$A$2:$R$17,COLUMN(K191)-9,FALSE)</f>
        <v>12</v>
      </c>
      <c r="L191" s="48">
        <f>原始值!E191+VLOOKUP($H191,怪物强度修正!$A$2:$R$17,COLUMN(L191)-9,FALSE)</f>
        <v>22</v>
      </c>
      <c r="M191" s="48">
        <f t="shared" si="50"/>
        <v>12</v>
      </c>
      <c r="N191" s="48">
        <f t="shared" si="51"/>
        <v>22</v>
      </c>
      <c r="O191" s="48">
        <f>原始值!H191+VLOOKUP($H191,怪物强度修正!$A$2:$R$17,COLUMN(O191)-9,FALSE)</f>
        <v>0</v>
      </c>
      <c r="P191" s="48">
        <f>原始值!I191+VLOOKUP($H191,怪物强度修正!$A$2:$R$17,COLUMN(P191)-9,FALSE)</f>
        <v>0</v>
      </c>
      <c r="Q191" s="48">
        <f>原始值!J191+VLOOKUP($H191,怪物强度修正!$A$2:$R$17,COLUMN(Q191)-9,FALSE)</f>
        <v>4</v>
      </c>
      <c r="R191" s="48">
        <f>原始值!K191+VLOOKUP($H191,怪物强度修正!$A$2:$R$17,COLUMN(R191)-9,FALSE)</f>
        <v>4</v>
      </c>
      <c r="S191" s="48">
        <f>原始值!L191+VLOOKUP($H191,怪物强度修正!$A$2:$R$17,COLUMN(S191)-9,FALSE)</f>
        <v>8</v>
      </c>
      <c r="T191" s="48">
        <f>原始值!M191+VLOOKUP($H191,怪物强度修正!$A$2:$R$17,COLUMN(T191)-9,FALSE)</f>
        <v>8</v>
      </c>
      <c r="U191" s="48">
        <f>原始值!N191+VLOOKUP($H191,怪物强度修正!$A$2:$R$17,COLUMN(U191)-9,FALSE)</f>
        <v>165</v>
      </c>
      <c r="V191" s="48">
        <v>1</v>
      </c>
      <c r="W191" s="48">
        <f>原始值!P191+VLOOKUP($H191,怪物强度修正!$A$2:$R$17,COLUMN(W191)-9,FALSE)</f>
        <v>15</v>
      </c>
      <c r="X191" s="48">
        <f>原始值!Q191+VLOOKUP($H191,怪物强度修正!$A$2:$R$17,COLUMN(X191)-9,FALSE)</f>
        <v>15</v>
      </c>
      <c r="Y191" s="48">
        <f>原始值!R191+VLOOKUP($H191,怪物强度修正!$A$2:$R$17,COLUMN(Y191)-9,FALSE)</f>
        <v>75</v>
      </c>
      <c r="Z191" s="48">
        <f>原始值!S191+VLOOKUP($H191,怪物强度修正!$A$2:$R$17,COLUMN(Z191)-9,FALSE)</f>
        <v>300</v>
      </c>
      <c r="AA191" s="48">
        <f>原始值!T191+VLOOKUP($H191,怪物强度修正!$A$2:$R$17,COLUMN(AA191)-9,FALSE)</f>
        <v>50</v>
      </c>
    </row>
    <row r="192" spans="1:27" s="48" customFormat="1">
      <c r="A192" s="48" t="str">
        <f t="shared" si="40"/>
        <v>PhyType.NewNpcType_413</v>
      </c>
      <c r="B192" s="48" t="s">
        <v>137</v>
      </c>
      <c r="C192" s="48">
        <v>413</v>
      </c>
      <c r="D192" s="48">
        <v>413</v>
      </c>
      <c r="G192" s="48" t="str">
        <f t="shared" si="47"/>
        <v>沃玛战士散人精英</v>
      </c>
      <c r="H192" s="48" t="str">
        <f t="shared" si="48"/>
        <v>沃玛寺庙</v>
      </c>
      <c r="I192" s="48">
        <f t="shared" si="49"/>
        <v>779</v>
      </c>
      <c r="K192" s="48">
        <f>原始值!D192+VLOOKUP($H192,怪物强度修正!$A$2:$R$17,COLUMN(K192)-9,FALSE)</f>
        <v>19</v>
      </c>
      <c r="L192" s="48">
        <f>原始值!E192+VLOOKUP($H192,怪物强度修正!$A$2:$R$17,COLUMN(L192)-9,FALSE)</f>
        <v>40</v>
      </c>
      <c r="M192" s="48">
        <f t="shared" si="50"/>
        <v>19</v>
      </c>
      <c r="N192" s="48">
        <f t="shared" si="51"/>
        <v>40</v>
      </c>
      <c r="O192" s="48">
        <f>原始值!H192+VLOOKUP($H192,怪物强度修正!$A$2:$R$17,COLUMN(O192)-9,FALSE)</f>
        <v>0</v>
      </c>
      <c r="P192" s="48">
        <f>原始值!I192+VLOOKUP($H192,怪物强度修正!$A$2:$R$17,COLUMN(P192)-9,FALSE)</f>
        <v>0</v>
      </c>
      <c r="Q192" s="48">
        <f>原始值!J192+VLOOKUP($H192,怪物强度修正!$A$2:$R$17,COLUMN(Q192)-9,FALSE)</f>
        <v>4</v>
      </c>
      <c r="R192" s="48">
        <f>原始值!K192+VLOOKUP($H192,怪物强度修正!$A$2:$R$17,COLUMN(R192)-9,FALSE)</f>
        <v>4</v>
      </c>
      <c r="S192" s="48">
        <f>原始值!L192+VLOOKUP($H192,怪物强度修正!$A$2:$R$17,COLUMN(S192)-9,FALSE)</f>
        <v>8</v>
      </c>
      <c r="T192" s="48">
        <f>原始值!M192+VLOOKUP($H192,怪物强度修正!$A$2:$R$17,COLUMN(T192)-9,FALSE)</f>
        <v>8</v>
      </c>
      <c r="U192" s="48">
        <f>原始值!N192+VLOOKUP($H192,怪物强度修正!$A$2:$R$17,COLUMN(U192)-9,FALSE)</f>
        <v>265</v>
      </c>
      <c r="V192" s="48">
        <v>1</v>
      </c>
      <c r="W192" s="48">
        <f>原始值!P192+VLOOKUP($H192,怪物强度修正!$A$2:$R$17,COLUMN(W192)-9,FALSE)</f>
        <v>13</v>
      </c>
      <c r="X192" s="48">
        <f>原始值!Q192+VLOOKUP($H192,怪物强度修正!$A$2:$R$17,COLUMN(X192)-9,FALSE)</f>
        <v>15</v>
      </c>
      <c r="Y192" s="48">
        <f>原始值!R192+VLOOKUP($H192,怪物强度修正!$A$2:$R$17,COLUMN(Y192)-9,FALSE)</f>
        <v>75</v>
      </c>
      <c r="Z192" s="48">
        <f>原始值!S192+VLOOKUP($H192,怪物强度修正!$A$2:$R$17,COLUMN(Z192)-9,FALSE)</f>
        <v>300</v>
      </c>
      <c r="AA192" s="48">
        <f>原始值!T192+VLOOKUP($H192,怪物强度修正!$A$2:$R$17,COLUMN(AA192)-9,FALSE)</f>
        <v>50</v>
      </c>
    </row>
    <row r="193" spans="1:27" s="48" customFormat="1">
      <c r="A193" s="48" t="str">
        <f t="shared" si="40"/>
        <v>PhyType.NewNpcType_414</v>
      </c>
      <c r="B193" s="48" t="s">
        <v>137</v>
      </c>
      <c r="C193" s="48">
        <v>414</v>
      </c>
      <c r="D193" s="48">
        <v>414</v>
      </c>
      <c r="G193" s="48" t="str">
        <f t="shared" si="47"/>
        <v>沃玛勇士散人精英</v>
      </c>
      <c r="H193" s="48" t="str">
        <f t="shared" si="48"/>
        <v>沃玛寺庙</v>
      </c>
      <c r="I193" s="48">
        <f t="shared" si="49"/>
        <v>839</v>
      </c>
      <c r="K193" s="48">
        <f>原始值!D193+VLOOKUP($H193,怪物强度修正!$A$2:$R$17,COLUMN(K193)-9,FALSE)</f>
        <v>22</v>
      </c>
      <c r="L193" s="48">
        <f>原始值!E193+VLOOKUP($H193,怪物强度修正!$A$2:$R$17,COLUMN(L193)-9,FALSE)</f>
        <v>40</v>
      </c>
      <c r="M193" s="48">
        <f t="shared" si="50"/>
        <v>22</v>
      </c>
      <c r="N193" s="48">
        <f t="shared" si="51"/>
        <v>40</v>
      </c>
      <c r="O193" s="48">
        <f>原始值!H193+VLOOKUP($H193,怪物强度修正!$A$2:$R$17,COLUMN(O193)-9,FALSE)</f>
        <v>0</v>
      </c>
      <c r="P193" s="48">
        <f>原始值!I193+VLOOKUP($H193,怪物强度修正!$A$2:$R$17,COLUMN(P193)-9,FALSE)</f>
        <v>0</v>
      </c>
      <c r="Q193" s="48">
        <f>原始值!J193+VLOOKUP($H193,怪物强度修正!$A$2:$R$17,COLUMN(Q193)-9,FALSE)</f>
        <v>4</v>
      </c>
      <c r="R193" s="48">
        <f>原始值!K193+VLOOKUP($H193,怪物强度修正!$A$2:$R$17,COLUMN(R193)-9,FALSE)</f>
        <v>4</v>
      </c>
      <c r="S193" s="48">
        <f>原始值!L193+VLOOKUP($H193,怪物强度修正!$A$2:$R$17,COLUMN(S193)-9,FALSE)</f>
        <v>8</v>
      </c>
      <c r="T193" s="48">
        <f>原始值!M193+VLOOKUP($H193,怪物强度修正!$A$2:$R$17,COLUMN(T193)-9,FALSE)</f>
        <v>8</v>
      </c>
      <c r="U193" s="48">
        <f>原始值!N193+VLOOKUP($H193,怪物强度修正!$A$2:$R$17,COLUMN(U193)-9,FALSE)</f>
        <v>285</v>
      </c>
      <c r="V193" s="48">
        <v>1</v>
      </c>
      <c r="W193" s="48">
        <f>原始值!P193+VLOOKUP($H193,怪物强度修正!$A$2:$R$17,COLUMN(W193)-9,FALSE)</f>
        <v>13</v>
      </c>
      <c r="X193" s="48">
        <f>原始值!Q193+VLOOKUP($H193,怪物强度修正!$A$2:$R$17,COLUMN(X193)-9,FALSE)</f>
        <v>15</v>
      </c>
      <c r="Y193" s="48">
        <f>原始值!R193+VLOOKUP($H193,怪物强度修正!$A$2:$R$17,COLUMN(Y193)-9,FALSE)</f>
        <v>75</v>
      </c>
      <c r="Z193" s="48">
        <f>原始值!S193+VLOOKUP($H193,怪物强度修正!$A$2:$R$17,COLUMN(Z193)-9,FALSE)</f>
        <v>300</v>
      </c>
      <c r="AA193" s="48">
        <f>原始值!T193+VLOOKUP($H193,怪物强度修正!$A$2:$R$17,COLUMN(AA193)-9,FALSE)</f>
        <v>50</v>
      </c>
    </row>
    <row r="194" spans="1:27" s="48" customFormat="1">
      <c r="A194" s="48" t="str">
        <f t="shared" si="40"/>
        <v>PhyType.NewNpcType_415</v>
      </c>
      <c r="B194" s="48" t="s">
        <v>137</v>
      </c>
      <c r="C194" s="48">
        <v>415</v>
      </c>
      <c r="D194" s="48">
        <v>415</v>
      </c>
      <c r="G194" s="48" t="str">
        <f t="shared" si="47"/>
        <v>沃玛战将散人精英</v>
      </c>
      <c r="H194" s="48" t="str">
        <f t="shared" si="48"/>
        <v>沃玛寺庙</v>
      </c>
      <c r="I194" s="48">
        <f t="shared" si="49"/>
        <v>839</v>
      </c>
      <c r="K194" s="48">
        <f>原始值!D194+VLOOKUP($H194,怪物强度修正!$A$2:$R$17,COLUMN(K194)-9,FALSE)</f>
        <v>21</v>
      </c>
      <c r="L194" s="48">
        <f>原始值!E194+VLOOKUP($H194,怪物强度修正!$A$2:$R$17,COLUMN(L194)-9,FALSE)</f>
        <v>42</v>
      </c>
      <c r="M194" s="48">
        <f t="shared" si="50"/>
        <v>21</v>
      </c>
      <c r="N194" s="48">
        <f t="shared" si="51"/>
        <v>42</v>
      </c>
      <c r="O194" s="48">
        <f>原始值!H194+VLOOKUP($H194,怪物强度修正!$A$2:$R$17,COLUMN(O194)-9,FALSE)</f>
        <v>0</v>
      </c>
      <c r="P194" s="48">
        <f>原始值!I194+VLOOKUP($H194,怪物强度修正!$A$2:$R$17,COLUMN(P194)-9,FALSE)</f>
        <v>0</v>
      </c>
      <c r="Q194" s="48">
        <f>原始值!J194+VLOOKUP($H194,怪物强度修正!$A$2:$R$17,COLUMN(Q194)-9,FALSE)</f>
        <v>4</v>
      </c>
      <c r="R194" s="48">
        <f>原始值!K194+VLOOKUP($H194,怪物强度修正!$A$2:$R$17,COLUMN(R194)-9,FALSE)</f>
        <v>4</v>
      </c>
      <c r="S194" s="48">
        <f>原始值!L194+VLOOKUP($H194,怪物强度修正!$A$2:$R$17,COLUMN(S194)-9,FALSE)</f>
        <v>8</v>
      </c>
      <c r="T194" s="48">
        <f>原始值!M194+VLOOKUP($H194,怪物强度修正!$A$2:$R$17,COLUMN(T194)-9,FALSE)</f>
        <v>8</v>
      </c>
      <c r="U194" s="48">
        <f>原始值!N194+VLOOKUP($H194,怪物强度修正!$A$2:$R$17,COLUMN(U194)-9,FALSE)</f>
        <v>285</v>
      </c>
      <c r="V194" s="48">
        <v>1</v>
      </c>
      <c r="W194" s="48">
        <f>原始值!P194+VLOOKUP($H194,怪物强度修正!$A$2:$R$17,COLUMN(W194)-9,FALSE)</f>
        <v>13</v>
      </c>
      <c r="X194" s="48">
        <f>原始值!Q194+VLOOKUP($H194,怪物强度修正!$A$2:$R$17,COLUMN(X194)-9,FALSE)</f>
        <v>15</v>
      </c>
      <c r="Y194" s="48">
        <f>原始值!R194+VLOOKUP($H194,怪物强度修正!$A$2:$R$17,COLUMN(Y194)-9,FALSE)</f>
        <v>75</v>
      </c>
      <c r="Z194" s="48">
        <f>原始值!S194+VLOOKUP($H194,怪物强度修正!$A$2:$R$17,COLUMN(Z194)-9,FALSE)</f>
        <v>300</v>
      </c>
      <c r="AA194" s="48">
        <f>原始值!T194+VLOOKUP($H194,怪物强度修正!$A$2:$R$17,COLUMN(AA194)-9,FALSE)</f>
        <v>50</v>
      </c>
    </row>
    <row r="195" spans="1:27" s="48" customFormat="1">
      <c r="A195" s="48" t="str">
        <f t="shared" si="40"/>
        <v>PhyType.NewNpcType_416</v>
      </c>
      <c r="B195" s="48" t="s">
        <v>137</v>
      </c>
      <c r="C195" s="48">
        <v>416</v>
      </c>
      <c r="D195" s="48">
        <v>416</v>
      </c>
      <c r="G195" s="48" t="str">
        <f t="shared" si="47"/>
        <v>火焰沃玛散人精英</v>
      </c>
      <c r="H195" s="48" t="str">
        <f t="shared" si="48"/>
        <v>沃玛寺庙</v>
      </c>
      <c r="I195" s="48">
        <f t="shared" si="49"/>
        <v>869</v>
      </c>
      <c r="K195" s="48">
        <f>原始值!D195+VLOOKUP($H195,怪物强度修正!$A$2:$R$17,COLUMN(K195)-9,FALSE)</f>
        <v>19</v>
      </c>
      <c r="L195" s="48">
        <f>原始值!E195+VLOOKUP($H195,怪物强度修正!$A$2:$R$17,COLUMN(L195)-9,FALSE)</f>
        <v>37</v>
      </c>
      <c r="M195" s="48">
        <f t="shared" si="50"/>
        <v>19</v>
      </c>
      <c r="N195" s="48">
        <f t="shared" si="51"/>
        <v>37</v>
      </c>
      <c r="O195" s="48">
        <f>原始值!H195+VLOOKUP($H195,怪物强度修正!$A$2:$R$17,COLUMN(O195)-9,FALSE)</f>
        <v>0</v>
      </c>
      <c r="P195" s="48">
        <f>原始值!I195+VLOOKUP($H195,怪物强度修正!$A$2:$R$17,COLUMN(P195)-9,FALSE)</f>
        <v>0</v>
      </c>
      <c r="Q195" s="48">
        <f>原始值!J195+VLOOKUP($H195,怪物强度修正!$A$2:$R$17,COLUMN(Q195)-9,FALSE)</f>
        <v>0</v>
      </c>
      <c r="R195" s="48">
        <f>原始值!K195+VLOOKUP($H195,怪物强度修正!$A$2:$R$17,COLUMN(R195)-9,FALSE)</f>
        <v>0</v>
      </c>
      <c r="S195" s="48">
        <f>原始值!L195+VLOOKUP($H195,怪物强度修正!$A$2:$R$17,COLUMN(S195)-9,FALSE)</f>
        <v>5</v>
      </c>
      <c r="T195" s="48">
        <f>原始值!M195+VLOOKUP($H195,怪物强度修正!$A$2:$R$17,COLUMN(T195)-9,FALSE)</f>
        <v>5</v>
      </c>
      <c r="U195" s="48">
        <f>原始值!N195+VLOOKUP($H195,怪物强度修正!$A$2:$R$17,COLUMN(U195)-9,FALSE)</f>
        <v>340</v>
      </c>
      <c r="V195" s="48">
        <v>1</v>
      </c>
      <c r="W195" s="48">
        <f>原始值!P195+VLOOKUP($H195,怪物强度修正!$A$2:$R$17,COLUMN(W195)-9,FALSE)</f>
        <v>20</v>
      </c>
      <c r="X195" s="48">
        <f>原始值!Q195+VLOOKUP($H195,怪物强度修正!$A$2:$R$17,COLUMN(X195)-9,FALSE)</f>
        <v>20</v>
      </c>
      <c r="Y195" s="48">
        <f>原始值!R195+VLOOKUP($H195,怪物强度修正!$A$2:$R$17,COLUMN(Y195)-9,FALSE)</f>
        <v>75</v>
      </c>
      <c r="Z195" s="48">
        <f>原始值!S195+VLOOKUP($H195,怪物强度修正!$A$2:$R$17,COLUMN(Z195)-9,FALSE)</f>
        <v>300</v>
      </c>
      <c r="AA195" s="48">
        <f>原始值!T195+VLOOKUP($H195,怪物强度修正!$A$2:$R$17,COLUMN(AA195)-9,FALSE)</f>
        <v>50</v>
      </c>
    </row>
    <row r="196" spans="1:27" s="48" customFormat="1">
      <c r="A196" s="48" t="str">
        <f t="shared" si="40"/>
        <v>PhyType.NewNpcType_417</v>
      </c>
      <c r="B196" s="48" t="s">
        <v>137</v>
      </c>
      <c r="C196" s="48">
        <v>417</v>
      </c>
      <c r="D196" s="48">
        <v>417</v>
      </c>
      <c r="G196" s="48" t="str">
        <f t="shared" si="47"/>
        <v>盔甲虫散人精英</v>
      </c>
      <c r="H196" s="48" t="str">
        <f t="shared" si="48"/>
        <v>盟重</v>
      </c>
      <c r="I196" s="48">
        <f t="shared" si="49"/>
        <v>110</v>
      </c>
      <c r="K196" s="48">
        <f>原始值!D196+VLOOKUP($H196,怪物强度修正!$A$2:$R$17,COLUMN(K196)-9,FALSE)</f>
        <v>6</v>
      </c>
      <c r="L196" s="48">
        <f>原始值!E196+VLOOKUP($H196,怪物强度修正!$A$2:$R$17,COLUMN(L196)-9,FALSE)</f>
        <v>15</v>
      </c>
      <c r="M196" s="48">
        <f t="shared" si="50"/>
        <v>6</v>
      </c>
      <c r="N196" s="48">
        <f t="shared" si="51"/>
        <v>15</v>
      </c>
      <c r="O196" s="48">
        <f>原始值!H196+VLOOKUP($H196,怪物强度修正!$A$2:$R$17,COLUMN(O196)-9,FALSE)</f>
        <v>0</v>
      </c>
      <c r="P196" s="48">
        <f>原始值!I196+VLOOKUP($H196,怪物强度修正!$A$2:$R$17,COLUMN(P196)-9,FALSE)</f>
        <v>0</v>
      </c>
      <c r="Q196" s="48">
        <f>原始值!J196+VLOOKUP($H196,怪物强度修正!$A$2:$R$17,COLUMN(Q196)-9,FALSE)</f>
        <v>0</v>
      </c>
      <c r="R196" s="48">
        <f>原始值!K196+VLOOKUP($H196,怪物强度修正!$A$2:$R$17,COLUMN(R196)-9,FALSE)</f>
        <v>0</v>
      </c>
      <c r="S196" s="48">
        <f>原始值!L196+VLOOKUP($H196,怪物强度修正!$A$2:$R$17,COLUMN(S196)-9,FALSE)</f>
        <v>5</v>
      </c>
      <c r="T196" s="48">
        <f>原始值!M196+VLOOKUP($H196,怪物强度修正!$A$2:$R$17,COLUMN(T196)-9,FALSE)</f>
        <v>5</v>
      </c>
      <c r="U196" s="48">
        <f>原始值!N196+VLOOKUP($H196,怪物强度修正!$A$2:$R$17,COLUMN(U196)-9,FALSE)</f>
        <v>50</v>
      </c>
      <c r="V196" s="48">
        <v>1</v>
      </c>
      <c r="W196" s="48">
        <f>原始值!P196+VLOOKUP($H196,怪物强度修正!$A$2:$R$17,COLUMN(W196)-9,FALSE)</f>
        <v>7</v>
      </c>
      <c r="X196" s="48">
        <f>原始值!Q196+VLOOKUP($H196,怪物强度修正!$A$2:$R$17,COLUMN(X196)-9,FALSE)</f>
        <v>12</v>
      </c>
      <c r="Y196" s="48">
        <f>原始值!R196+VLOOKUP($H196,怪物强度修正!$A$2:$R$17,COLUMN(Y196)-9,FALSE)</f>
        <v>75</v>
      </c>
      <c r="Z196" s="48">
        <f>原始值!S196+VLOOKUP($H196,怪物强度修正!$A$2:$R$17,COLUMN(Z196)-9,FALSE)</f>
        <v>300</v>
      </c>
      <c r="AA196" s="48">
        <f>原始值!T196+VLOOKUP($H196,怪物强度修正!$A$2:$R$17,COLUMN(AA196)-9,FALSE)</f>
        <v>50</v>
      </c>
    </row>
    <row r="197" spans="1:27" s="48" customFormat="1">
      <c r="A197" s="48" t="str">
        <f t="shared" si="40"/>
        <v>PhyType.NewNpcType_438</v>
      </c>
      <c r="B197" s="48" t="s">
        <v>137</v>
      </c>
      <c r="C197" s="48">
        <v>438</v>
      </c>
      <c r="D197" s="48">
        <v>438</v>
      </c>
      <c r="G197" s="48" t="str">
        <f t="shared" si="47"/>
        <v>熊散人精英</v>
      </c>
      <c r="H197" s="48" t="str">
        <f t="shared" si="48"/>
        <v>盟重</v>
      </c>
      <c r="I197" s="48">
        <f t="shared" si="49"/>
        <v>104</v>
      </c>
      <c r="K197" s="48">
        <f>原始值!D197+VLOOKUP($H197,怪物强度修正!$A$2:$R$17,COLUMN(K197)-9,FALSE)</f>
        <v>8</v>
      </c>
      <c r="L197" s="48">
        <f>原始值!E197+VLOOKUP($H197,怪物强度修正!$A$2:$R$17,COLUMN(L197)-9,FALSE)</f>
        <v>12</v>
      </c>
      <c r="M197" s="48">
        <f t="shared" si="50"/>
        <v>8</v>
      </c>
      <c r="N197" s="48">
        <f t="shared" si="51"/>
        <v>12</v>
      </c>
      <c r="O197" s="48">
        <f>原始值!H197+VLOOKUP($H197,怪物强度修正!$A$2:$R$17,COLUMN(O197)-9,FALSE)</f>
        <v>0</v>
      </c>
      <c r="P197" s="48">
        <f>原始值!I197+VLOOKUP($H197,怪物强度修正!$A$2:$R$17,COLUMN(P197)-9,FALSE)</f>
        <v>0</v>
      </c>
      <c r="Q197" s="48">
        <f>原始值!J197+VLOOKUP($H197,怪物强度修正!$A$2:$R$17,COLUMN(Q197)-9,FALSE)</f>
        <v>0</v>
      </c>
      <c r="R197" s="48">
        <f>原始值!K197+VLOOKUP($H197,怪物强度修正!$A$2:$R$17,COLUMN(R197)-9,FALSE)</f>
        <v>0</v>
      </c>
      <c r="S197" s="48">
        <f>原始值!L197+VLOOKUP($H197,怪物强度修正!$A$2:$R$17,COLUMN(S197)-9,FALSE)</f>
        <v>5</v>
      </c>
      <c r="T197" s="48">
        <f>原始值!M197+VLOOKUP($H197,怪物强度修正!$A$2:$R$17,COLUMN(T197)-9,FALSE)</f>
        <v>5</v>
      </c>
      <c r="U197" s="48">
        <f>原始值!N197+VLOOKUP($H197,怪物强度修正!$A$2:$R$17,COLUMN(U197)-9,FALSE)</f>
        <v>46</v>
      </c>
      <c r="V197" s="48">
        <v>1</v>
      </c>
      <c r="W197" s="48">
        <f>原始值!P197+VLOOKUP($H197,怪物强度修正!$A$2:$R$17,COLUMN(W197)-9,FALSE)</f>
        <v>10</v>
      </c>
      <c r="X197" s="48">
        <f>原始值!Q197+VLOOKUP($H197,怪物强度修正!$A$2:$R$17,COLUMN(X197)-9,FALSE)</f>
        <v>12</v>
      </c>
      <c r="Y197" s="48">
        <f>原始值!R197+VLOOKUP($H197,怪物强度修正!$A$2:$R$17,COLUMN(Y197)-9,FALSE)</f>
        <v>75</v>
      </c>
      <c r="Z197" s="48">
        <f>原始值!S197+VLOOKUP($H197,怪物强度修正!$A$2:$R$17,COLUMN(Z197)-9,FALSE)</f>
        <v>300</v>
      </c>
      <c r="AA197" s="48">
        <f>原始值!T197+VLOOKUP($H197,怪物强度修正!$A$2:$R$17,COLUMN(AA197)-9,FALSE)</f>
        <v>50</v>
      </c>
    </row>
    <row r="198" spans="1:27" s="48" customFormat="1">
      <c r="A198" s="48" t="str">
        <f t="shared" si="40"/>
        <v>PhyType.NewNpcType_418</v>
      </c>
      <c r="B198" s="48" t="s">
        <v>137</v>
      </c>
      <c r="C198" s="48">
        <v>418</v>
      </c>
      <c r="D198" s="48">
        <v>418</v>
      </c>
      <c r="G198" s="48" t="str">
        <f t="shared" si="47"/>
        <v>狼散人精英</v>
      </c>
      <c r="H198" s="48" t="str">
        <f t="shared" si="48"/>
        <v>盟重</v>
      </c>
      <c r="I198" s="48">
        <f t="shared" si="49"/>
        <v>104</v>
      </c>
      <c r="K198" s="48">
        <f>原始值!D198+VLOOKUP($H198,怪物强度修正!$A$2:$R$17,COLUMN(K198)-9,FALSE)</f>
        <v>9</v>
      </c>
      <c r="L198" s="48">
        <f>原始值!E198+VLOOKUP($H198,怪物强度修正!$A$2:$R$17,COLUMN(L198)-9,FALSE)</f>
        <v>14</v>
      </c>
      <c r="M198" s="48">
        <f t="shared" si="50"/>
        <v>9</v>
      </c>
      <c r="N198" s="48">
        <f t="shared" si="51"/>
        <v>14</v>
      </c>
      <c r="O198" s="48">
        <f>原始值!H198+VLOOKUP($H198,怪物强度修正!$A$2:$R$17,COLUMN(O198)-9,FALSE)</f>
        <v>0</v>
      </c>
      <c r="P198" s="48">
        <f>原始值!I198+VLOOKUP($H198,怪物强度修正!$A$2:$R$17,COLUMN(P198)-9,FALSE)</f>
        <v>0</v>
      </c>
      <c r="Q198" s="48">
        <f>原始值!J198+VLOOKUP($H198,怪物强度修正!$A$2:$R$17,COLUMN(Q198)-9,FALSE)</f>
        <v>0</v>
      </c>
      <c r="R198" s="48">
        <f>原始值!K198+VLOOKUP($H198,怪物强度修正!$A$2:$R$17,COLUMN(R198)-9,FALSE)</f>
        <v>0</v>
      </c>
      <c r="S198" s="48">
        <f>原始值!L198+VLOOKUP($H198,怪物强度修正!$A$2:$R$17,COLUMN(S198)-9,FALSE)</f>
        <v>5</v>
      </c>
      <c r="T198" s="48">
        <f>原始值!M198+VLOOKUP($H198,怪物强度修正!$A$2:$R$17,COLUMN(T198)-9,FALSE)</f>
        <v>5</v>
      </c>
      <c r="U198" s="48">
        <f>原始值!N198+VLOOKUP($H198,怪物强度修正!$A$2:$R$17,COLUMN(U198)-9,FALSE)</f>
        <v>37</v>
      </c>
      <c r="V198" s="48">
        <v>1</v>
      </c>
      <c r="W198" s="48">
        <f>原始值!P198+VLOOKUP($H198,怪物强度修正!$A$2:$R$17,COLUMN(W198)-9,FALSE)</f>
        <v>10</v>
      </c>
      <c r="X198" s="48">
        <f>原始值!Q198+VLOOKUP($H198,怪物强度修正!$A$2:$R$17,COLUMN(X198)-9,FALSE)</f>
        <v>13</v>
      </c>
      <c r="Y198" s="48">
        <f>原始值!R198+VLOOKUP($H198,怪物强度修正!$A$2:$R$17,COLUMN(Y198)-9,FALSE)</f>
        <v>75</v>
      </c>
      <c r="Z198" s="48">
        <f>原始值!S198+VLOOKUP($H198,怪物强度修正!$A$2:$R$17,COLUMN(Z198)-9,FALSE)</f>
        <v>300</v>
      </c>
      <c r="AA198" s="48">
        <f>原始值!T198+VLOOKUP($H198,怪物强度修正!$A$2:$R$17,COLUMN(AA198)-9,FALSE)</f>
        <v>50</v>
      </c>
    </row>
    <row r="199" spans="1:27" s="48" customFormat="1">
      <c r="A199" s="48" t="str">
        <f t="shared" si="40"/>
        <v>PhyType.NewNpcType_419</v>
      </c>
      <c r="B199" s="48" t="s">
        <v>137</v>
      </c>
      <c r="C199" s="48">
        <v>419</v>
      </c>
      <c r="D199" s="48">
        <v>419</v>
      </c>
      <c r="G199" s="48" t="str">
        <f t="shared" si="47"/>
        <v>多角虫散人精英</v>
      </c>
      <c r="H199" s="48" t="str">
        <f t="shared" si="48"/>
        <v>盟重</v>
      </c>
      <c r="I199" s="48">
        <f t="shared" si="49"/>
        <v>95</v>
      </c>
      <c r="K199" s="48">
        <f>原始值!D199+VLOOKUP($H199,怪物强度修正!$A$2:$R$17,COLUMN(K199)-9,FALSE)</f>
        <v>11</v>
      </c>
      <c r="L199" s="48">
        <f>原始值!E199+VLOOKUP($H199,怪物强度修正!$A$2:$R$17,COLUMN(L199)-9,FALSE)</f>
        <v>12</v>
      </c>
      <c r="M199" s="48">
        <f t="shared" si="50"/>
        <v>11</v>
      </c>
      <c r="N199" s="48">
        <f t="shared" si="51"/>
        <v>12</v>
      </c>
      <c r="O199" s="48">
        <f>原始值!H199+VLOOKUP($H199,怪物强度修正!$A$2:$R$17,COLUMN(O199)-9,FALSE)</f>
        <v>0</v>
      </c>
      <c r="P199" s="48">
        <f>原始值!I199+VLOOKUP($H199,怪物强度修正!$A$2:$R$17,COLUMN(P199)-9,FALSE)</f>
        <v>0</v>
      </c>
      <c r="Q199" s="48">
        <f>原始值!J199+VLOOKUP($H199,怪物强度修正!$A$2:$R$17,COLUMN(Q199)-9,FALSE)</f>
        <v>0</v>
      </c>
      <c r="R199" s="48">
        <f>原始值!K199+VLOOKUP($H199,怪物强度修正!$A$2:$R$17,COLUMN(R199)-9,FALSE)</f>
        <v>0</v>
      </c>
      <c r="S199" s="48">
        <f>原始值!L199+VLOOKUP($H199,怪物强度修正!$A$2:$R$17,COLUMN(S199)-9,FALSE)</f>
        <v>5</v>
      </c>
      <c r="T199" s="48">
        <f>原始值!M199+VLOOKUP($H199,怪物强度修正!$A$2:$R$17,COLUMN(T199)-9,FALSE)</f>
        <v>5</v>
      </c>
      <c r="U199" s="48">
        <f>原始值!N199+VLOOKUP($H199,怪物强度修正!$A$2:$R$17,COLUMN(U199)-9,FALSE)</f>
        <v>52</v>
      </c>
      <c r="V199" s="48">
        <v>1</v>
      </c>
      <c r="W199" s="48">
        <f>原始值!P199+VLOOKUP($H199,怪物强度修正!$A$2:$R$17,COLUMN(W199)-9,FALSE)</f>
        <v>10</v>
      </c>
      <c r="X199" s="48">
        <f>原始值!Q199+VLOOKUP($H199,怪物强度修正!$A$2:$R$17,COLUMN(X199)-9,FALSE)</f>
        <v>13</v>
      </c>
      <c r="Y199" s="48">
        <f>原始值!R199+VLOOKUP($H199,怪物强度修正!$A$2:$R$17,COLUMN(Y199)-9,FALSE)</f>
        <v>75</v>
      </c>
      <c r="Z199" s="48">
        <f>原始值!S199+VLOOKUP($H199,怪物强度修正!$A$2:$R$17,COLUMN(Z199)-9,FALSE)</f>
        <v>300</v>
      </c>
      <c r="AA199" s="48">
        <f>原始值!T199+VLOOKUP($H199,怪物强度修正!$A$2:$R$17,COLUMN(AA199)-9,FALSE)</f>
        <v>50</v>
      </c>
    </row>
    <row r="200" spans="1:27" s="48" customFormat="1">
      <c r="A200" s="48" t="str">
        <f t="shared" si="40"/>
        <v>PhyType.NewNpcType_420</v>
      </c>
      <c r="B200" s="48" t="s">
        <v>137</v>
      </c>
      <c r="C200" s="48">
        <v>420</v>
      </c>
      <c r="D200" s="48">
        <v>420</v>
      </c>
      <c r="G200" s="48" t="str">
        <f t="shared" si="47"/>
        <v>蜈蚣散人精英</v>
      </c>
      <c r="H200" s="48" t="str">
        <f t="shared" si="48"/>
        <v>死亡峡谷</v>
      </c>
      <c r="I200" s="48">
        <f t="shared" si="49"/>
        <v>689</v>
      </c>
      <c r="K200" s="48">
        <f>原始值!D200+VLOOKUP($H200,怪物强度修正!$A$2:$R$17,COLUMN(K200)-9,FALSE)</f>
        <v>21</v>
      </c>
      <c r="L200" s="48">
        <f>原始值!E200+VLOOKUP($H200,怪物强度修正!$A$2:$R$17,COLUMN(L200)-9,FALSE)</f>
        <v>30</v>
      </c>
      <c r="M200" s="48">
        <f t="shared" si="50"/>
        <v>21</v>
      </c>
      <c r="N200" s="48">
        <f t="shared" si="51"/>
        <v>30</v>
      </c>
      <c r="O200" s="48">
        <f>原始值!H200+VLOOKUP($H200,怪物强度修正!$A$2:$R$17,COLUMN(O200)-9,FALSE)</f>
        <v>0</v>
      </c>
      <c r="P200" s="48">
        <f>原始值!I200+VLOOKUP($H200,怪物强度修正!$A$2:$R$17,COLUMN(P200)-9,FALSE)</f>
        <v>0</v>
      </c>
      <c r="Q200" s="48">
        <f>原始值!J200+VLOOKUP($H200,怪物强度修正!$A$2:$R$17,COLUMN(Q200)-9,FALSE)</f>
        <v>1</v>
      </c>
      <c r="R200" s="48">
        <f>原始值!K200+VLOOKUP($H200,怪物强度修正!$A$2:$R$17,COLUMN(R200)-9,FALSE)</f>
        <v>1</v>
      </c>
      <c r="S200" s="48">
        <f>原始值!L200+VLOOKUP($H200,怪物强度修正!$A$2:$R$17,COLUMN(S200)-9,FALSE)</f>
        <v>15</v>
      </c>
      <c r="T200" s="48">
        <f>原始值!M200+VLOOKUP($H200,怪物强度修正!$A$2:$R$17,COLUMN(T200)-9,FALSE)</f>
        <v>15</v>
      </c>
      <c r="U200" s="48">
        <f>原始值!N200+VLOOKUP($H200,怪物强度修正!$A$2:$R$17,COLUMN(U200)-9,FALSE)</f>
        <v>230</v>
      </c>
      <c r="V200" s="48">
        <v>1</v>
      </c>
      <c r="W200" s="48">
        <f>原始值!P200+VLOOKUP($H200,怪物强度修正!$A$2:$R$17,COLUMN(W200)-9,FALSE)</f>
        <v>13</v>
      </c>
      <c r="X200" s="48">
        <f>原始值!Q200+VLOOKUP($H200,怪物强度修正!$A$2:$R$17,COLUMN(X200)-9,FALSE)</f>
        <v>15</v>
      </c>
      <c r="Y200" s="48">
        <f>原始值!R200+VLOOKUP($H200,怪物强度修正!$A$2:$R$17,COLUMN(Y200)-9,FALSE)</f>
        <v>75</v>
      </c>
      <c r="Z200" s="48">
        <f>原始值!S200+VLOOKUP($H200,怪物强度修正!$A$2:$R$17,COLUMN(Z200)-9,FALSE)</f>
        <v>300</v>
      </c>
      <c r="AA200" s="48">
        <f>原始值!T200+VLOOKUP($H200,怪物强度修正!$A$2:$R$17,COLUMN(AA200)-9,FALSE)</f>
        <v>50</v>
      </c>
    </row>
    <row r="201" spans="1:27" s="48" customFormat="1">
      <c r="A201" s="48" t="str">
        <f t="shared" si="40"/>
        <v>PhyType.NewNpcType_421</v>
      </c>
      <c r="B201" s="48" t="s">
        <v>137</v>
      </c>
      <c r="C201" s="48">
        <v>421</v>
      </c>
      <c r="D201" s="48">
        <v>421</v>
      </c>
      <c r="G201" s="48" t="str">
        <f t="shared" si="47"/>
        <v>巨型蠕虫散人精英</v>
      </c>
      <c r="H201" s="48" t="str">
        <f t="shared" si="48"/>
        <v>死亡峡谷</v>
      </c>
      <c r="I201" s="48">
        <f t="shared" si="49"/>
        <v>689</v>
      </c>
      <c r="K201" s="48">
        <f>原始值!D201+VLOOKUP($H201,怪物强度修正!$A$2:$R$17,COLUMN(K201)-9,FALSE)</f>
        <v>26</v>
      </c>
      <c r="L201" s="48">
        <f>原始值!E201+VLOOKUP($H201,怪物强度修正!$A$2:$R$17,COLUMN(L201)-9,FALSE)</f>
        <v>30</v>
      </c>
      <c r="M201" s="48">
        <f t="shared" si="50"/>
        <v>26</v>
      </c>
      <c r="N201" s="48">
        <f t="shared" si="51"/>
        <v>30</v>
      </c>
      <c r="O201" s="48">
        <f>原始值!H201+VLOOKUP($H201,怪物强度修正!$A$2:$R$17,COLUMN(O201)-9,FALSE)</f>
        <v>0</v>
      </c>
      <c r="P201" s="48">
        <f>原始值!I201+VLOOKUP($H201,怪物强度修正!$A$2:$R$17,COLUMN(P201)-9,FALSE)</f>
        <v>0</v>
      </c>
      <c r="Q201" s="48">
        <f>原始值!J201+VLOOKUP($H201,怪物强度修正!$A$2:$R$17,COLUMN(Q201)-9,FALSE)</f>
        <v>5</v>
      </c>
      <c r="R201" s="48">
        <f>原始值!K201+VLOOKUP($H201,怪物强度修正!$A$2:$R$17,COLUMN(R201)-9,FALSE)</f>
        <v>5</v>
      </c>
      <c r="S201" s="48">
        <f>原始值!L201+VLOOKUP($H201,怪物强度修正!$A$2:$R$17,COLUMN(S201)-9,FALSE)</f>
        <v>12</v>
      </c>
      <c r="T201" s="48">
        <f>原始值!M201+VLOOKUP($H201,怪物强度修正!$A$2:$R$17,COLUMN(T201)-9,FALSE)</f>
        <v>12</v>
      </c>
      <c r="U201" s="48">
        <f>原始值!N201+VLOOKUP($H201,怪物强度修正!$A$2:$R$17,COLUMN(U201)-9,FALSE)</f>
        <v>200</v>
      </c>
      <c r="V201" s="48">
        <v>1</v>
      </c>
      <c r="W201" s="48">
        <f>原始值!P201+VLOOKUP($H201,怪物强度修正!$A$2:$R$17,COLUMN(W201)-9,FALSE)</f>
        <v>13</v>
      </c>
      <c r="X201" s="48">
        <f>原始值!Q201+VLOOKUP($H201,怪物强度修正!$A$2:$R$17,COLUMN(X201)-9,FALSE)</f>
        <v>15</v>
      </c>
      <c r="Y201" s="48">
        <f>原始值!R201+VLOOKUP($H201,怪物强度修正!$A$2:$R$17,COLUMN(Y201)-9,FALSE)</f>
        <v>75</v>
      </c>
      <c r="Z201" s="48">
        <f>原始值!S201+VLOOKUP($H201,怪物强度修正!$A$2:$R$17,COLUMN(Z201)-9,FALSE)</f>
        <v>300</v>
      </c>
      <c r="AA201" s="48">
        <f>原始值!T201+VLOOKUP($H201,怪物强度修正!$A$2:$R$17,COLUMN(AA201)-9,FALSE)</f>
        <v>50</v>
      </c>
    </row>
    <row r="202" spans="1:27" s="48" customFormat="1">
      <c r="A202" s="48" t="str">
        <f t="shared" si="40"/>
        <v>PhyType.NewNpcType_422</v>
      </c>
      <c r="B202" s="48" t="s">
        <v>137</v>
      </c>
      <c r="C202" s="48">
        <v>422</v>
      </c>
      <c r="D202" s="48">
        <v>422</v>
      </c>
      <c r="G202" s="48" t="str">
        <f t="shared" si="47"/>
        <v>钳虫散人精英</v>
      </c>
      <c r="H202" s="48" t="str">
        <f t="shared" si="48"/>
        <v>死亡峡谷</v>
      </c>
      <c r="I202" s="48">
        <f t="shared" si="49"/>
        <v>749</v>
      </c>
      <c r="K202" s="48">
        <f>原始值!D202+VLOOKUP($H202,怪物强度修正!$A$2:$R$17,COLUMN(K202)-9,FALSE)</f>
        <v>26</v>
      </c>
      <c r="L202" s="48">
        <f>原始值!E202+VLOOKUP($H202,怪物强度修正!$A$2:$R$17,COLUMN(L202)-9,FALSE)</f>
        <v>41</v>
      </c>
      <c r="M202" s="48">
        <f t="shared" si="50"/>
        <v>26</v>
      </c>
      <c r="N202" s="48">
        <f t="shared" si="51"/>
        <v>41</v>
      </c>
      <c r="O202" s="48">
        <f>原始值!H202+VLOOKUP($H202,怪物强度修正!$A$2:$R$17,COLUMN(O202)-9,FALSE)</f>
        <v>0</v>
      </c>
      <c r="P202" s="48">
        <f>原始值!I202+VLOOKUP($H202,怪物强度修正!$A$2:$R$17,COLUMN(P202)-9,FALSE)</f>
        <v>0</v>
      </c>
      <c r="Q202" s="48">
        <f>原始值!J202+VLOOKUP($H202,怪物强度修正!$A$2:$R$17,COLUMN(Q202)-9,FALSE)</f>
        <v>8</v>
      </c>
      <c r="R202" s="48">
        <f>原始值!K202+VLOOKUP($H202,怪物强度修正!$A$2:$R$17,COLUMN(R202)-9,FALSE)</f>
        <v>8</v>
      </c>
      <c r="S202" s="48">
        <f>原始值!L202+VLOOKUP($H202,怪物强度修正!$A$2:$R$17,COLUMN(S202)-9,FALSE)</f>
        <v>18</v>
      </c>
      <c r="T202" s="48">
        <f>原始值!M202+VLOOKUP($H202,怪物强度修正!$A$2:$R$17,COLUMN(T202)-9,FALSE)</f>
        <v>18</v>
      </c>
      <c r="U202" s="48">
        <f>原始值!N202+VLOOKUP($H202,怪物强度修正!$A$2:$R$17,COLUMN(U202)-9,FALSE)</f>
        <v>270</v>
      </c>
      <c r="V202" s="48">
        <v>1</v>
      </c>
      <c r="W202" s="48">
        <f>原始值!P202+VLOOKUP($H202,怪物强度修正!$A$2:$R$17,COLUMN(W202)-9,FALSE)</f>
        <v>13</v>
      </c>
      <c r="X202" s="48">
        <f>原始值!Q202+VLOOKUP($H202,怪物强度修正!$A$2:$R$17,COLUMN(X202)-9,FALSE)</f>
        <v>15</v>
      </c>
      <c r="Y202" s="48">
        <f>原始值!R202+VLOOKUP($H202,怪物强度修正!$A$2:$R$17,COLUMN(Y202)-9,FALSE)</f>
        <v>75</v>
      </c>
      <c r="Z202" s="48">
        <f>原始值!S202+VLOOKUP($H202,怪物强度修正!$A$2:$R$17,COLUMN(Z202)-9,FALSE)</f>
        <v>300</v>
      </c>
      <c r="AA202" s="48">
        <f>原始值!T202+VLOOKUP($H202,怪物强度修正!$A$2:$R$17,COLUMN(AA202)-9,FALSE)</f>
        <v>50</v>
      </c>
    </row>
    <row r="203" spans="1:27" s="48" customFormat="1">
      <c r="A203" s="48" t="str">
        <f t="shared" si="40"/>
        <v>PhyType.NewNpcType_423</v>
      </c>
      <c r="B203" s="48" t="s">
        <v>137</v>
      </c>
      <c r="C203" s="48">
        <v>423</v>
      </c>
      <c r="D203" s="48">
        <v>423</v>
      </c>
      <c r="G203" s="48" t="str">
        <f t="shared" si="47"/>
        <v>跳跳蜂散人精英</v>
      </c>
      <c r="H203" s="48" t="str">
        <f t="shared" si="48"/>
        <v>死亡峡谷</v>
      </c>
      <c r="I203" s="48">
        <f t="shared" si="49"/>
        <v>629</v>
      </c>
      <c r="K203" s="48">
        <f>原始值!D203+VLOOKUP($H203,怪物强度修正!$A$2:$R$17,COLUMN(K203)-9,FALSE)</f>
        <v>21</v>
      </c>
      <c r="L203" s="48">
        <f>原始值!E203+VLOOKUP($H203,怪物强度修正!$A$2:$R$17,COLUMN(L203)-9,FALSE)</f>
        <v>30</v>
      </c>
      <c r="M203" s="48">
        <f t="shared" si="50"/>
        <v>21</v>
      </c>
      <c r="N203" s="48">
        <f t="shared" si="51"/>
        <v>30</v>
      </c>
      <c r="O203" s="48">
        <f>原始值!H203+VLOOKUP($H203,怪物强度修正!$A$2:$R$17,COLUMN(O203)-9,FALSE)</f>
        <v>0</v>
      </c>
      <c r="P203" s="48">
        <f>原始值!I203+VLOOKUP($H203,怪物强度修正!$A$2:$R$17,COLUMN(P203)-9,FALSE)</f>
        <v>0</v>
      </c>
      <c r="Q203" s="48">
        <f>原始值!J203+VLOOKUP($H203,怪物强度修正!$A$2:$R$17,COLUMN(Q203)-9,FALSE)</f>
        <v>5</v>
      </c>
      <c r="R203" s="48">
        <f>原始值!K203+VLOOKUP($H203,怪物强度修正!$A$2:$R$17,COLUMN(R203)-9,FALSE)</f>
        <v>5</v>
      </c>
      <c r="S203" s="48">
        <f>原始值!L203+VLOOKUP($H203,怪物强度修正!$A$2:$R$17,COLUMN(S203)-9,FALSE)</f>
        <v>12</v>
      </c>
      <c r="T203" s="48">
        <f>原始值!M203+VLOOKUP($H203,怪物强度修正!$A$2:$R$17,COLUMN(T203)-9,FALSE)</f>
        <v>12</v>
      </c>
      <c r="U203" s="48">
        <f>原始值!N203+VLOOKUP($H203,怪物强度修正!$A$2:$R$17,COLUMN(U203)-9,FALSE)</f>
        <v>200</v>
      </c>
      <c r="V203" s="48">
        <v>1</v>
      </c>
      <c r="W203" s="48">
        <f>原始值!P203+VLOOKUP($H203,怪物强度修正!$A$2:$R$17,COLUMN(W203)-9,FALSE)</f>
        <v>13</v>
      </c>
      <c r="X203" s="48">
        <f>原始值!Q203+VLOOKUP($H203,怪物强度修正!$A$2:$R$17,COLUMN(X203)-9,FALSE)</f>
        <v>15</v>
      </c>
      <c r="Y203" s="48">
        <f>原始值!R203+VLOOKUP($H203,怪物强度修正!$A$2:$R$17,COLUMN(Y203)-9,FALSE)</f>
        <v>75</v>
      </c>
      <c r="Z203" s="48">
        <f>原始值!S203+VLOOKUP($H203,怪物强度修正!$A$2:$R$17,COLUMN(Z203)-9,FALSE)</f>
        <v>300</v>
      </c>
      <c r="AA203" s="48">
        <f>原始值!T203+VLOOKUP($H203,怪物强度修正!$A$2:$R$17,COLUMN(AA203)-9,FALSE)</f>
        <v>50</v>
      </c>
    </row>
    <row r="204" spans="1:27" s="48" customFormat="1">
      <c r="A204" s="48" t="str">
        <f t="shared" si="40"/>
        <v>PhyType.NewNpcType_424</v>
      </c>
      <c r="B204" s="48" t="s">
        <v>137</v>
      </c>
      <c r="C204" s="48">
        <v>424</v>
      </c>
      <c r="D204" s="48">
        <v>424</v>
      </c>
      <c r="G204" s="48" t="str">
        <f t="shared" si="47"/>
        <v>恶蛆散人精英</v>
      </c>
      <c r="H204" s="48" t="str">
        <f t="shared" si="48"/>
        <v>石墓</v>
      </c>
      <c r="I204" s="48">
        <f t="shared" si="49"/>
        <v>539</v>
      </c>
      <c r="K204" s="48">
        <f>原始值!D204+VLOOKUP($H204,怪物强度修正!$A$2:$R$17,COLUMN(K204)-9,FALSE)</f>
        <v>18</v>
      </c>
      <c r="L204" s="48">
        <f>原始值!E204+VLOOKUP($H204,怪物强度修正!$A$2:$R$17,COLUMN(L204)-9,FALSE)</f>
        <v>26</v>
      </c>
      <c r="M204" s="48">
        <f t="shared" si="50"/>
        <v>18</v>
      </c>
      <c r="N204" s="48">
        <f t="shared" si="51"/>
        <v>26</v>
      </c>
      <c r="O204" s="48">
        <f>原始值!H204+VLOOKUP($H204,怪物强度修正!$A$2:$R$17,COLUMN(O204)-9,FALSE)</f>
        <v>0</v>
      </c>
      <c r="P204" s="48">
        <f>原始值!I204+VLOOKUP($H204,怪物强度修正!$A$2:$R$17,COLUMN(P204)-9,FALSE)</f>
        <v>0</v>
      </c>
      <c r="Q204" s="48">
        <f>原始值!J204+VLOOKUP($H204,怪物强度修正!$A$2:$R$17,COLUMN(Q204)-9,FALSE)</f>
        <v>8</v>
      </c>
      <c r="R204" s="48">
        <f>原始值!K204+VLOOKUP($H204,怪物强度修正!$A$2:$R$17,COLUMN(R204)-9,FALSE)</f>
        <v>8</v>
      </c>
      <c r="S204" s="48">
        <f>原始值!L204+VLOOKUP($H204,怪物强度修正!$A$2:$R$17,COLUMN(S204)-9,FALSE)</f>
        <v>7</v>
      </c>
      <c r="T204" s="48">
        <f>原始值!M204+VLOOKUP($H204,怪物强度修正!$A$2:$R$17,COLUMN(T204)-9,FALSE)</f>
        <v>7</v>
      </c>
      <c r="U204" s="48">
        <f>原始值!N204+VLOOKUP($H204,怪物强度修正!$A$2:$R$17,COLUMN(U204)-9,FALSE)</f>
        <v>230</v>
      </c>
      <c r="V204" s="48">
        <v>1</v>
      </c>
      <c r="W204" s="48">
        <f>原始值!P204+VLOOKUP($H204,怪物强度修正!$A$2:$R$17,COLUMN(W204)-9,FALSE)</f>
        <v>13</v>
      </c>
      <c r="X204" s="48">
        <f>原始值!Q204+VLOOKUP($H204,怪物强度修正!$A$2:$R$17,COLUMN(X204)-9,FALSE)</f>
        <v>15</v>
      </c>
      <c r="Y204" s="48">
        <f>原始值!R204+VLOOKUP($H204,怪物强度修正!$A$2:$R$17,COLUMN(Y204)-9,FALSE)</f>
        <v>75</v>
      </c>
      <c r="Z204" s="48">
        <f>原始值!S204+VLOOKUP($H204,怪物强度修正!$A$2:$R$17,COLUMN(Z204)-9,FALSE)</f>
        <v>300</v>
      </c>
      <c r="AA204" s="48">
        <f>原始值!T204+VLOOKUP($H204,怪物强度修正!$A$2:$R$17,COLUMN(AA204)-9,FALSE)</f>
        <v>50</v>
      </c>
    </row>
    <row r="205" spans="1:27" s="48" customFormat="1">
      <c r="A205" s="48" t="str">
        <f t="shared" si="40"/>
        <v>PhyType.NewNpcType_425</v>
      </c>
      <c r="B205" s="48" t="s">
        <v>137</v>
      </c>
      <c r="C205" s="48">
        <v>425</v>
      </c>
      <c r="D205" s="48">
        <v>425</v>
      </c>
      <c r="G205" s="48" t="str">
        <f t="shared" si="47"/>
        <v>红野猪散人精英</v>
      </c>
      <c r="H205" s="48" t="str">
        <f t="shared" si="48"/>
        <v>石墓</v>
      </c>
      <c r="I205" s="48">
        <f t="shared" si="49"/>
        <v>959</v>
      </c>
      <c r="K205" s="48">
        <f>原始值!D205+VLOOKUP($H205,怪物强度修正!$A$2:$R$17,COLUMN(K205)-9,FALSE)</f>
        <v>30</v>
      </c>
      <c r="L205" s="48">
        <f>原始值!E205+VLOOKUP($H205,怪物强度修正!$A$2:$R$17,COLUMN(L205)-9,FALSE)</f>
        <v>41</v>
      </c>
      <c r="M205" s="48">
        <f t="shared" si="50"/>
        <v>30</v>
      </c>
      <c r="N205" s="48">
        <f t="shared" si="51"/>
        <v>41</v>
      </c>
      <c r="O205" s="48">
        <f>原始值!H205+VLOOKUP($H205,怪物强度修正!$A$2:$R$17,COLUMN(O205)-9,FALSE)</f>
        <v>0</v>
      </c>
      <c r="P205" s="48">
        <f>原始值!I205+VLOOKUP($H205,怪物强度修正!$A$2:$R$17,COLUMN(P205)-9,FALSE)</f>
        <v>0</v>
      </c>
      <c r="Q205" s="48">
        <f>原始值!J205+VLOOKUP($H205,怪物强度修正!$A$2:$R$17,COLUMN(Q205)-9,FALSE)</f>
        <v>1</v>
      </c>
      <c r="R205" s="48">
        <f>原始值!K205+VLOOKUP($H205,怪物强度修正!$A$2:$R$17,COLUMN(R205)-9,FALSE)</f>
        <v>1</v>
      </c>
      <c r="S205" s="48">
        <f>原始值!L205+VLOOKUP($H205,怪物强度修正!$A$2:$R$17,COLUMN(S205)-9,FALSE)</f>
        <v>19</v>
      </c>
      <c r="T205" s="48">
        <f>原始值!M205+VLOOKUP($H205,怪物强度修正!$A$2:$R$17,COLUMN(T205)-9,FALSE)</f>
        <v>19</v>
      </c>
      <c r="U205" s="48">
        <f>原始值!N205+VLOOKUP($H205,怪物强度修正!$A$2:$R$17,COLUMN(U205)-9,FALSE)</f>
        <v>330</v>
      </c>
      <c r="V205" s="48">
        <v>1</v>
      </c>
      <c r="W205" s="48">
        <f>原始值!P205+VLOOKUP($H205,怪物强度修正!$A$2:$R$17,COLUMN(W205)-9,FALSE)</f>
        <v>13</v>
      </c>
      <c r="X205" s="48">
        <f>原始值!Q205+VLOOKUP($H205,怪物强度修正!$A$2:$R$17,COLUMN(X205)-9,FALSE)</f>
        <v>15</v>
      </c>
      <c r="Y205" s="48">
        <f>原始值!R205+VLOOKUP($H205,怪物强度修正!$A$2:$R$17,COLUMN(Y205)-9,FALSE)</f>
        <v>75</v>
      </c>
      <c r="Z205" s="48">
        <f>原始值!S205+VLOOKUP($H205,怪物强度修正!$A$2:$R$17,COLUMN(Z205)-9,FALSE)</f>
        <v>300</v>
      </c>
      <c r="AA205" s="48">
        <f>原始值!T205+VLOOKUP($H205,怪物强度修正!$A$2:$R$17,COLUMN(AA205)-9,FALSE)</f>
        <v>50</v>
      </c>
    </row>
    <row r="206" spans="1:27" s="48" customFormat="1">
      <c r="A206" s="48" t="str">
        <f t="shared" si="40"/>
        <v>PhyType.NewNpcType_426</v>
      </c>
      <c r="B206" s="48" t="s">
        <v>137</v>
      </c>
      <c r="C206" s="48">
        <v>426</v>
      </c>
      <c r="D206" s="48">
        <v>426</v>
      </c>
      <c r="G206" s="48" t="str">
        <f t="shared" si="47"/>
        <v>黑野猪散人精英</v>
      </c>
      <c r="H206" s="48" t="str">
        <f t="shared" si="48"/>
        <v>石墓</v>
      </c>
      <c r="I206" s="48">
        <f t="shared" si="49"/>
        <v>1139</v>
      </c>
      <c r="K206" s="48">
        <f>原始值!D206+VLOOKUP($H206,怪物强度修正!$A$2:$R$17,COLUMN(K206)-9,FALSE)</f>
        <v>33</v>
      </c>
      <c r="L206" s="48">
        <f>原始值!E206+VLOOKUP($H206,怪物强度修正!$A$2:$R$17,COLUMN(L206)-9,FALSE)</f>
        <v>42</v>
      </c>
      <c r="M206" s="48">
        <f t="shared" si="50"/>
        <v>33</v>
      </c>
      <c r="N206" s="48">
        <f t="shared" si="51"/>
        <v>42</v>
      </c>
      <c r="O206" s="48">
        <f>原始值!H206+VLOOKUP($H206,怪物强度修正!$A$2:$R$17,COLUMN(O206)-9,FALSE)</f>
        <v>0</v>
      </c>
      <c r="P206" s="48">
        <f>原始值!I206+VLOOKUP($H206,怪物强度修正!$A$2:$R$17,COLUMN(P206)-9,FALSE)</f>
        <v>0</v>
      </c>
      <c r="Q206" s="48">
        <f>原始值!J206+VLOOKUP($H206,怪物强度修正!$A$2:$R$17,COLUMN(Q206)-9,FALSE)</f>
        <v>14</v>
      </c>
      <c r="R206" s="48">
        <f>原始值!K206+VLOOKUP($H206,怪物强度修正!$A$2:$R$17,COLUMN(R206)-9,FALSE)</f>
        <v>14</v>
      </c>
      <c r="S206" s="48">
        <f>原始值!L206+VLOOKUP($H206,怪物强度修正!$A$2:$R$17,COLUMN(S206)-9,FALSE)</f>
        <v>7</v>
      </c>
      <c r="T206" s="48">
        <f>原始值!M206+VLOOKUP($H206,怪物强度修正!$A$2:$R$17,COLUMN(T206)-9,FALSE)</f>
        <v>7</v>
      </c>
      <c r="U206" s="48">
        <f>原始值!N206+VLOOKUP($H206,怪物强度修正!$A$2:$R$17,COLUMN(U206)-9,FALSE)</f>
        <v>310</v>
      </c>
      <c r="V206" s="48">
        <v>1</v>
      </c>
      <c r="W206" s="48">
        <f>原始值!P206+VLOOKUP($H206,怪物强度修正!$A$2:$R$17,COLUMN(W206)-9,FALSE)</f>
        <v>13</v>
      </c>
      <c r="X206" s="48">
        <f>原始值!Q206+VLOOKUP($H206,怪物强度修正!$A$2:$R$17,COLUMN(X206)-9,FALSE)</f>
        <v>15</v>
      </c>
      <c r="Y206" s="48">
        <f>原始值!R206+VLOOKUP($H206,怪物强度修正!$A$2:$R$17,COLUMN(Y206)-9,FALSE)</f>
        <v>75</v>
      </c>
      <c r="Z206" s="48">
        <f>原始值!S206+VLOOKUP($H206,怪物强度修正!$A$2:$R$17,COLUMN(Z206)-9,FALSE)</f>
        <v>300</v>
      </c>
      <c r="AA206" s="48">
        <f>原始值!T206+VLOOKUP($H206,怪物强度修正!$A$2:$R$17,COLUMN(AA206)-9,FALSE)</f>
        <v>50</v>
      </c>
    </row>
    <row r="207" spans="1:27" s="48" customFormat="1">
      <c r="A207" s="48" t="str">
        <f t="shared" si="40"/>
        <v>PhyType.NewNpcType_427</v>
      </c>
      <c r="B207" s="48" t="s">
        <v>137</v>
      </c>
      <c r="C207" s="48">
        <v>427</v>
      </c>
      <c r="D207" s="48">
        <v>427</v>
      </c>
      <c r="E207" s="47"/>
      <c r="F207" s="47"/>
      <c r="G207" s="48" t="str">
        <f t="shared" si="47"/>
        <v>白野猪散人精英</v>
      </c>
      <c r="H207" s="48" t="str">
        <f t="shared" si="48"/>
        <v>石墓</v>
      </c>
      <c r="I207" s="48">
        <f t="shared" si="49"/>
        <v>4799</v>
      </c>
      <c r="J207" s="47"/>
      <c r="K207" s="48">
        <f>原始值!D207+VLOOKUP($H207,怪物强度修正!$A$2:$R$17,COLUMN(K207)-9,FALSE)</f>
        <v>48</v>
      </c>
      <c r="L207" s="48">
        <f>原始值!E207+VLOOKUP($H207,怪物强度修正!$A$2:$R$17,COLUMN(L207)-9,FALSE)</f>
        <v>86</v>
      </c>
      <c r="M207" s="48">
        <f t="shared" si="50"/>
        <v>48</v>
      </c>
      <c r="N207" s="48">
        <f t="shared" si="51"/>
        <v>86</v>
      </c>
      <c r="O207" s="48">
        <f>原始值!H207+VLOOKUP($H207,怪物强度修正!$A$2:$R$17,COLUMN(O207)-9,FALSE)</f>
        <v>0</v>
      </c>
      <c r="P207" s="48">
        <f>原始值!I207+VLOOKUP($H207,怪物强度修正!$A$2:$R$17,COLUMN(P207)-9,FALSE)</f>
        <v>0</v>
      </c>
      <c r="Q207" s="48">
        <f>原始值!J207+VLOOKUP($H207,怪物强度修正!$A$2:$R$17,COLUMN(Q207)-9,FALSE)</f>
        <v>21</v>
      </c>
      <c r="R207" s="48">
        <f>原始值!K207+VLOOKUP($H207,怪物强度修正!$A$2:$R$17,COLUMN(R207)-9,FALSE)</f>
        <v>21</v>
      </c>
      <c r="S207" s="48">
        <f>原始值!L207+VLOOKUP($H207,怪物强度修正!$A$2:$R$17,COLUMN(S207)-9,FALSE)</f>
        <v>30</v>
      </c>
      <c r="T207" s="48">
        <f>原始值!M207+VLOOKUP($H207,怪物强度修正!$A$2:$R$17,COLUMN(T207)-9,FALSE)</f>
        <v>30</v>
      </c>
      <c r="U207" s="48">
        <f>原始值!N207+VLOOKUP($H207,怪物强度修正!$A$2:$R$17,COLUMN(U207)-9,FALSE)</f>
        <v>1000</v>
      </c>
      <c r="V207" s="48">
        <v>1</v>
      </c>
      <c r="W207" s="48">
        <f>原始值!P207+VLOOKUP($H207,怪物强度修正!$A$2:$R$17,COLUMN(W207)-9,FALSE)</f>
        <v>17</v>
      </c>
      <c r="X207" s="48">
        <f>原始值!Q207+VLOOKUP($H207,怪物强度修正!$A$2:$R$17,COLUMN(X207)-9,FALSE)</f>
        <v>25</v>
      </c>
      <c r="Y207" s="48">
        <f>原始值!R207+VLOOKUP($H207,怪物强度修正!$A$2:$R$17,COLUMN(Y207)-9,FALSE)</f>
        <v>75</v>
      </c>
      <c r="Z207" s="48">
        <f>原始值!S207+VLOOKUP($H207,怪物强度修正!$A$2:$R$17,COLUMN(Z207)-9,FALSE)</f>
        <v>300</v>
      </c>
      <c r="AA207" s="48">
        <f>原始值!T207+VLOOKUP($H207,怪物强度修正!$A$2:$R$17,COLUMN(AA207)-9,FALSE)</f>
        <v>50</v>
      </c>
    </row>
    <row r="208" spans="1:27" s="48" customFormat="1">
      <c r="A208" s="48" t="str">
        <f t="shared" si="40"/>
        <v>PhyType.NewNpcType_428</v>
      </c>
      <c r="B208" s="48" t="s">
        <v>137</v>
      </c>
      <c r="C208" s="48">
        <v>428</v>
      </c>
      <c r="D208" s="48">
        <v>428</v>
      </c>
      <c r="E208" s="47"/>
      <c r="F208" s="47"/>
      <c r="G208" s="48" t="str">
        <f t="shared" ref="G208:G231" si="52">G40&amp;"散人精英"</f>
        <v>虹魔猪卫散人精英</v>
      </c>
      <c r="H208" s="48" t="str">
        <f t="shared" ref="H208:H231" si="53">H40</f>
        <v>虹魔教坛</v>
      </c>
      <c r="I208" s="48">
        <f t="shared" ref="I208:I231" si="54">INT((I40+1)*3-1)</f>
        <v>5999</v>
      </c>
      <c r="J208" s="47"/>
      <c r="K208" s="48">
        <f>原始值!D208+VLOOKUP($H208,怪物强度修正!$A$2:$R$17,COLUMN(K208)-9,FALSE)</f>
        <v>60</v>
      </c>
      <c r="L208" s="48">
        <f>原始值!E208+VLOOKUP($H208,怪物强度修正!$A$2:$R$17,COLUMN(L208)-9,FALSE)</f>
        <v>90</v>
      </c>
      <c r="M208" s="48">
        <f t="shared" si="50"/>
        <v>60</v>
      </c>
      <c r="N208" s="48">
        <f t="shared" si="51"/>
        <v>90</v>
      </c>
      <c r="O208" s="48">
        <f>原始值!H208+VLOOKUP($H208,怪物强度修正!$A$2:$R$17,COLUMN(O208)-9,FALSE)</f>
        <v>0</v>
      </c>
      <c r="P208" s="48">
        <f>原始值!I208+VLOOKUP($H208,怪物强度修正!$A$2:$R$17,COLUMN(P208)-9,FALSE)</f>
        <v>0</v>
      </c>
      <c r="Q208" s="48">
        <f>原始值!J208+VLOOKUP($H208,怪物强度修正!$A$2:$R$17,COLUMN(Q208)-9,FALSE)</f>
        <v>26</v>
      </c>
      <c r="R208" s="48">
        <f>原始值!K208+VLOOKUP($H208,怪物强度修正!$A$2:$R$17,COLUMN(R208)-9,FALSE)</f>
        <v>26</v>
      </c>
      <c r="S208" s="48">
        <f>原始值!L208+VLOOKUP($H208,怪物强度修正!$A$2:$R$17,COLUMN(S208)-9,FALSE)</f>
        <v>35</v>
      </c>
      <c r="T208" s="48">
        <f>原始值!M208+VLOOKUP($H208,怪物强度修正!$A$2:$R$17,COLUMN(T208)-9,FALSE)</f>
        <v>35</v>
      </c>
      <c r="U208" s="48">
        <f>原始值!N208+VLOOKUP($H208,怪物强度修正!$A$2:$R$17,COLUMN(U208)-9,FALSE)</f>
        <v>1500</v>
      </c>
      <c r="V208" s="48">
        <v>1</v>
      </c>
      <c r="W208" s="48">
        <f>原始值!P208+VLOOKUP($H208,怪物强度修正!$A$2:$R$17,COLUMN(W208)-9,FALSE)</f>
        <v>17</v>
      </c>
      <c r="X208" s="48">
        <f>原始值!Q208+VLOOKUP($H208,怪物强度修正!$A$2:$R$17,COLUMN(X208)-9,FALSE)</f>
        <v>25</v>
      </c>
      <c r="Y208" s="48">
        <f>原始值!R208+VLOOKUP($H208,怪物强度修正!$A$2:$R$17,COLUMN(Y208)-9,FALSE)</f>
        <v>75</v>
      </c>
      <c r="Z208" s="48">
        <f>原始值!S208+VLOOKUP($H208,怪物强度修正!$A$2:$R$17,COLUMN(Z208)-9,FALSE)</f>
        <v>300</v>
      </c>
      <c r="AA208" s="48">
        <f>原始值!T208+VLOOKUP($H208,怪物强度修正!$A$2:$R$17,COLUMN(AA208)-9,FALSE)</f>
        <v>50</v>
      </c>
    </row>
    <row r="209" spans="1:27" s="48" customFormat="1">
      <c r="A209" s="48" t="str">
        <f t="shared" si="40"/>
        <v>PhyType.NewNpcType_429</v>
      </c>
      <c r="B209" s="48" t="s">
        <v>137</v>
      </c>
      <c r="C209" s="48">
        <v>429</v>
      </c>
      <c r="D209" s="48">
        <v>429</v>
      </c>
      <c r="E209" s="47"/>
      <c r="F209" s="47"/>
      <c r="G209" s="48" t="str">
        <f t="shared" si="52"/>
        <v>虹魔蝎卫散人精英</v>
      </c>
      <c r="H209" s="48" t="str">
        <f t="shared" si="53"/>
        <v>虹魔教坛</v>
      </c>
      <c r="I209" s="48">
        <f t="shared" si="54"/>
        <v>7499</v>
      </c>
      <c r="J209" s="47"/>
      <c r="K209" s="48">
        <f>原始值!D209+VLOOKUP($H209,怪物强度修正!$A$2:$R$17,COLUMN(K209)-9,FALSE)</f>
        <v>68</v>
      </c>
      <c r="L209" s="48">
        <f>原始值!E209+VLOOKUP($H209,怪物强度修正!$A$2:$R$17,COLUMN(L209)-9,FALSE)</f>
        <v>98</v>
      </c>
      <c r="M209" s="48">
        <f t="shared" si="50"/>
        <v>68</v>
      </c>
      <c r="N209" s="48">
        <f t="shared" si="51"/>
        <v>98</v>
      </c>
      <c r="O209" s="48">
        <f>原始值!H209+VLOOKUP($H209,怪物强度修正!$A$2:$R$17,COLUMN(O209)-9,FALSE)</f>
        <v>0</v>
      </c>
      <c r="P209" s="48">
        <f>原始值!I209+VLOOKUP($H209,怪物强度修正!$A$2:$R$17,COLUMN(P209)-9,FALSE)</f>
        <v>0</v>
      </c>
      <c r="Q209" s="48">
        <f>原始值!J209+VLOOKUP($H209,怪物强度修正!$A$2:$R$17,COLUMN(Q209)-9,FALSE)</f>
        <v>33</v>
      </c>
      <c r="R209" s="48">
        <f>原始值!K209+VLOOKUP($H209,怪物强度修正!$A$2:$R$17,COLUMN(R209)-9,FALSE)</f>
        <v>33</v>
      </c>
      <c r="S209" s="48">
        <f>原始值!L209+VLOOKUP($H209,怪物强度修正!$A$2:$R$17,COLUMN(S209)-9,FALSE)</f>
        <v>43</v>
      </c>
      <c r="T209" s="48">
        <f>原始值!M209+VLOOKUP($H209,怪物强度修正!$A$2:$R$17,COLUMN(T209)-9,FALSE)</f>
        <v>43</v>
      </c>
      <c r="U209" s="48">
        <f>原始值!N209+VLOOKUP($H209,怪物强度修正!$A$2:$R$17,COLUMN(U209)-9,FALSE)</f>
        <v>2000</v>
      </c>
      <c r="V209" s="48">
        <v>1</v>
      </c>
      <c r="W209" s="48">
        <f>原始值!P209+VLOOKUP($H209,怪物强度修正!$A$2:$R$17,COLUMN(W209)-9,FALSE)</f>
        <v>17</v>
      </c>
      <c r="X209" s="48">
        <f>原始值!Q209+VLOOKUP($H209,怪物强度修正!$A$2:$R$17,COLUMN(X209)-9,FALSE)</f>
        <v>25</v>
      </c>
      <c r="Y209" s="48">
        <f>原始值!R209+VLOOKUP($H209,怪物强度修正!$A$2:$R$17,COLUMN(Y209)-9,FALSE)</f>
        <v>75</v>
      </c>
      <c r="Z209" s="48">
        <f>原始值!S209+VLOOKUP($H209,怪物强度修正!$A$2:$R$17,COLUMN(Z209)-9,FALSE)</f>
        <v>300</v>
      </c>
      <c r="AA209" s="48">
        <f>原始值!T209+VLOOKUP($H209,怪物强度修正!$A$2:$R$17,COLUMN(AA209)-9,FALSE)</f>
        <v>50</v>
      </c>
    </row>
    <row r="210" spans="1:27" s="48" customFormat="1">
      <c r="A210" s="48" t="str">
        <f t="shared" si="40"/>
        <v>PhyType.NewNpcType_430</v>
      </c>
      <c r="B210" s="48" t="s">
        <v>137</v>
      </c>
      <c r="C210" s="48">
        <v>430</v>
      </c>
      <c r="D210" s="48">
        <v>430</v>
      </c>
      <c r="E210" s="47"/>
      <c r="F210" s="47"/>
      <c r="G210" s="48" t="str">
        <f t="shared" si="52"/>
        <v>残肢僵尸1散人精英</v>
      </c>
      <c r="H210" s="48" t="str">
        <f t="shared" si="53"/>
        <v>比奇矿区</v>
      </c>
      <c r="I210" s="48">
        <f t="shared" si="54"/>
        <v>224</v>
      </c>
      <c r="J210" s="47"/>
      <c r="K210" s="48">
        <f>原始值!D210+VLOOKUP($H210,怪物强度修正!$A$2:$R$17,COLUMN(K210)-9,FALSE)</f>
        <v>8</v>
      </c>
      <c r="L210" s="48">
        <f>原始值!E210+VLOOKUP($H210,怪物强度修正!$A$2:$R$17,COLUMN(L210)-9,FALSE)</f>
        <v>18</v>
      </c>
      <c r="M210" s="48">
        <f t="shared" si="50"/>
        <v>8</v>
      </c>
      <c r="N210" s="48">
        <f t="shared" si="51"/>
        <v>18</v>
      </c>
      <c r="O210" s="48">
        <f>原始值!H210+VLOOKUP($H210,怪物强度修正!$A$2:$R$17,COLUMN(O210)-9,FALSE)</f>
        <v>0</v>
      </c>
      <c r="P210" s="48">
        <f>原始值!I210+VLOOKUP($H210,怪物强度修正!$A$2:$R$17,COLUMN(P210)-9,FALSE)</f>
        <v>0</v>
      </c>
      <c r="Q210" s="48">
        <f>原始值!J210+VLOOKUP($H210,怪物强度修正!$A$2:$R$17,COLUMN(Q210)-9,FALSE)</f>
        <v>3</v>
      </c>
      <c r="R210" s="48">
        <f>原始值!K210+VLOOKUP($H210,怪物强度修正!$A$2:$R$17,COLUMN(R210)-9,FALSE)</f>
        <v>3</v>
      </c>
      <c r="S210" s="48">
        <f>原始值!L210+VLOOKUP($H210,怪物强度修正!$A$2:$R$17,COLUMN(S210)-9,FALSE)</f>
        <v>7</v>
      </c>
      <c r="T210" s="48">
        <f>原始值!M210+VLOOKUP($H210,怪物强度修正!$A$2:$R$17,COLUMN(T210)-9,FALSE)</f>
        <v>7</v>
      </c>
      <c r="U210" s="48">
        <f>原始值!N210+VLOOKUP($H210,怪物强度修正!$A$2:$R$17,COLUMN(U210)-9,FALSE)</f>
        <v>77</v>
      </c>
      <c r="V210" s="48">
        <v>1</v>
      </c>
      <c r="W210" s="48">
        <f>原始值!P210+VLOOKUP($H210,怪物强度修正!$A$2:$R$17,COLUMN(W210)-9,FALSE)</f>
        <v>5</v>
      </c>
      <c r="X210" s="48">
        <f>原始值!Q210+VLOOKUP($H210,怪物强度修正!$A$2:$R$17,COLUMN(X210)-9,FALSE)</f>
        <v>10</v>
      </c>
      <c r="Y210" s="48">
        <f>原始值!R210+VLOOKUP($H210,怪物强度修正!$A$2:$R$17,COLUMN(Y210)-9,FALSE)</f>
        <v>75</v>
      </c>
      <c r="Z210" s="48">
        <f>原始值!S210+VLOOKUP($H210,怪物强度修正!$A$2:$R$17,COLUMN(Z210)-9,FALSE)</f>
        <v>300</v>
      </c>
      <c r="AA210" s="48">
        <f>原始值!T210+VLOOKUP($H210,怪物强度修正!$A$2:$R$17,COLUMN(AA210)-9,FALSE)</f>
        <v>50</v>
      </c>
    </row>
    <row r="211" spans="1:27" s="48" customFormat="1">
      <c r="A211" s="48" t="str">
        <f t="shared" si="40"/>
        <v>PhyType.NewNpcType_431</v>
      </c>
      <c r="B211" s="48" t="s">
        <v>137</v>
      </c>
      <c r="C211" s="48">
        <v>431</v>
      </c>
      <c r="D211" s="48">
        <v>431</v>
      </c>
      <c r="E211" s="47"/>
      <c r="F211" s="47"/>
      <c r="G211" s="48" t="str">
        <f t="shared" si="52"/>
        <v>直立僵尸1散人精英</v>
      </c>
      <c r="H211" s="48" t="str">
        <f t="shared" si="53"/>
        <v>比奇矿区</v>
      </c>
      <c r="I211" s="48">
        <f t="shared" si="54"/>
        <v>224</v>
      </c>
      <c r="J211" s="47"/>
      <c r="K211" s="48">
        <f>原始值!D211+VLOOKUP($H211,怪物强度修正!$A$2:$R$17,COLUMN(K211)-9,FALSE)</f>
        <v>8</v>
      </c>
      <c r="L211" s="48">
        <f>原始值!E211+VLOOKUP($H211,怪物强度修正!$A$2:$R$17,COLUMN(L211)-9,FALSE)</f>
        <v>23</v>
      </c>
      <c r="M211" s="48">
        <f t="shared" si="50"/>
        <v>8</v>
      </c>
      <c r="N211" s="48">
        <f t="shared" si="51"/>
        <v>23</v>
      </c>
      <c r="O211" s="48">
        <f>原始值!H211+VLOOKUP($H211,怪物强度修正!$A$2:$R$17,COLUMN(O211)-9,FALSE)</f>
        <v>0</v>
      </c>
      <c r="P211" s="48">
        <f>原始值!I211+VLOOKUP($H211,怪物强度修正!$A$2:$R$17,COLUMN(P211)-9,FALSE)</f>
        <v>0</v>
      </c>
      <c r="Q211" s="48">
        <f>原始值!J211+VLOOKUP($H211,怪物强度修正!$A$2:$R$17,COLUMN(Q211)-9,FALSE)</f>
        <v>3</v>
      </c>
      <c r="R211" s="48">
        <f>原始值!K211+VLOOKUP($H211,怪物强度修正!$A$2:$R$17,COLUMN(R211)-9,FALSE)</f>
        <v>3</v>
      </c>
      <c r="S211" s="48">
        <f>原始值!L211+VLOOKUP($H211,怪物强度修正!$A$2:$R$17,COLUMN(S211)-9,FALSE)</f>
        <v>7</v>
      </c>
      <c r="T211" s="48">
        <f>原始值!M211+VLOOKUP($H211,怪物强度修正!$A$2:$R$17,COLUMN(T211)-9,FALSE)</f>
        <v>7</v>
      </c>
      <c r="U211" s="48">
        <f>原始值!N211+VLOOKUP($H211,怪物强度修正!$A$2:$R$17,COLUMN(U211)-9,FALSE)</f>
        <v>77</v>
      </c>
      <c r="V211" s="48">
        <v>1</v>
      </c>
      <c r="W211" s="48">
        <f>原始值!P211+VLOOKUP($H211,怪物强度修正!$A$2:$R$17,COLUMN(W211)-9,FALSE)</f>
        <v>5</v>
      </c>
      <c r="X211" s="48">
        <f>原始值!Q211+VLOOKUP($H211,怪物强度修正!$A$2:$R$17,COLUMN(X211)-9,FALSE)</f>
        <v>10</v>
      </c>
      <c r="Y211" s="48">
        <f>原始值!R211+VLOOKUP($H211,怪物强度修正!$A$2:$R$17,COLUMN(Y211)-9,FALSE)</f>
        <v>75</v>
      </c>
      <c r="Z211" s="48">
        <f>原始值!S211+VLOOKUP($H211,怪物强度修正!$A$2:$R$17,COLUMN(Z211)-9,FALSE)</f>
        <v>300</v>
      </c>
      <c r="AA211" s="48">
        <f>原始值!T211+VLOOKUP($H211,怪物强度修正!$A$2:$R$17,COLUMN(AA211)-9,FALSE)</f>
        <v>50</v>
      </c>
    </row>
    <row r="212" spans="1:27" s="48" customFormat="1">
      <c r="A212" s="48" t="str">
        <f t="shared" si="40"/>
        <v>PhyType.NewNpcType_432</v>
      </c>
      <c r="B212" s="48" t="s">
        <v>137</v>
      </c>
      <c r="C212" s="48">
        <v>432</v>
      </c>
      <c r="D212" s="48">
        <v>432</v>
      </c>
      <c r="E212" s="47"/>
      <c r="F212" s="47"/>
      <c r="G212" s="48" t="str">
        <f t="shared" si="52"/>
        <v>残肢僵尸2散人精英</v>
      </c>
      <c r="H212" s="48" t="str">
        <f t="shared" si="53"/>
        <v>比奇矿区</v>
      </c>
      <c r="I212" s="48">
        <f t="shared" si="54"/>
        <v>110</v>
      </c>
      <c r="J212" s="47"/>
      <c r="K212" s="48">
        <f>原始值!D212+VLOOKUP($H212,怪物强度修正!$A$2:$R$17,COLUMN(K212)-9,FALSE)</f>
        <v>8</v>
      </c>
      <c r="L212" s="48">
        <f>原始值!E212+VLOOKUP($H212,怪物强度修正!$A$2:$R$17,COLUMN(L212)-9,FALSE)</f>
        <v>18</v>
      </c>
      <c r="M212" s="48">
        <f t="shared" si="50"/>
        <v>8</v>
      </c>
      <c r="N212" s="48">
        <f t="shared" si="51"/>
        <v>18</v>
      </c>
      <c r="O212" s="48">
        <f>原始值!H212+VLOOKUP($H212,怪物强度修正!$A$2:$R$17,COLUMN(O212)-9,FALSE)</f>
        <v>0</v>
      </c>
      <c r="P212" s="48">
        <f>原始值!I212+VLOOKUP($H212,怪物强度修正!$A$2:$R$17,COLUMN(P212)-9,FALSE)</f>
        <v>0</v>
      </c>
      <c r="Q212" s="48">
        <f>原始值!J212+VLOOKUP($H212,怪物强度修正!$A$2:$R$17,COLUMN(Q212)-9,FALSE)</f>
        <v>3</v>
      </c>
      <c r="R212" s="48">
        <f>原始值!K212+VLOOKUP($H212,怪物强度修正!$A$2:$R$17,COLUMN(R212)-9,FALSE)</f>
        <v>3</v>
      </c>
      <c r="S212" s="48">
        <f>原始值!L212+VLOOKUP($H212,怪物强度修正!$A$2:$R$17,COLUMN(S212)-9,FALSE)</f>
        <v>7</v>
      </c>
      <c r="T212" s="48">
        <f>原始值!M212+VLOOKUP($H212,怪物强度修正!$A$2:$R$17,COLUMN(T212)-9,FALSE)</f>
        <v>7</v>
      </c>
      <c r="U212" s="48">
        <f>原始值!N212+VLOOKUP($H212,怪物强度修正!$A$2:$R$17,COLUMN(U212)-9,FALSE)</f>
        <v>38</v>
      </c>
      <c r="V212" s="48">
        <v>1</v>
      </c>
      <c r="W212" s="48">
        <f>原始值!P212+VLOOKUP($H212,怪物强度修正!$A$2:$R$17,COLUMN(W212)-9,FALSE)</f>
        <v>5</v>
      </c>
      <c r="X212" s="48">
        <f>原始值!Q212+VLOOKUP($H212,怪物强度修正!$A$2:$R$17,COLUMN(X212)-9,FALSE)</f>
        <v>10</v>
      </c>
      <c r="Y212" s="48">
        <f>原始值!R212+VLOOKUP($H212,怪物强度修正!$A$2:$R$17,COLUMN(Y212)-9,FALSE)</f>
        <v>75</v>
      </c>
      <c r="Z212" s="48">
        <f>原始值!S212+VLOOKUP($H212,怪物强度修正!$A$2:$R$17,COLUMN(Z212)-9,FALSE)</f>
        <v>300</v>
      </c>
      <c r="AA212" s="48">
        <f>原始值!T212+VLOOKUP($H212,怪物强度修正!$A$2:$R$17,COLUMN(AA212)-9,FALSE)</f>
        <v>50</v>
      </c>
    </row>
    <row r="213" spans="1:27" s="48" customFormat="1">
      <c r="A213" s="48" t="str">
        <f t="shared" si="40"/>
        <v>PhyType.NewNpcType_433</v>
      </c>
      <c r="B213" s="48" t="s">
        <v>137</v>
      </c>
      <c r="C213" s="48">
        <v>433</v>
      </c>
      <c r="D213" s="48">
        <v>433</v>
      </c>
      <c r="E213" s="47"/>
      <c r="F213" s="47"/>
      <c r="G213" s="48" t="str">
        <f t="shared" si="52"/>
        <v>直立僵尸2散人精英</v>
      </c>
      <c r="H213" s="48" t="str">
        <f t="shared" si="53"/>
        <v>比奇矿区</v>
      </c>
      <c r="I213" s="48">
        <f t="shared" si="54"/>
        <v>110</v>
      </c>
      <c r="J213" s="47"/>
      <c r="K213" s="48">
        <f>原始值!D213+VLOOKUP($H213,怪物强度修正!$A$2:$R$17,COLUMN(K213)-9,FALSE)</f>
        <v>8</v>
      </c>
      <c r="L213" s="48">
        <f>原始值!E213+VLOOKUP($H213,怪物强度修正!$A$2:$R$17,COLUMN(L213)-9,FALSE)</f>
        <v>23</v>
      </c>
      <c r="M213" s="48">
        <f t="shared" si="50"/>
        <v>8</v>
      </c>
      <c r="N213" s="48">
        <f t="shared" si="51"/>
        <v>23</v>
      </c>
      <c r="O213" s="48">
        <f>原始值!H213+VLOOKUP($H213,怪物强度修正!$A$2:$R$17,COLUMN(O213)-9,FALSE)</f>
        <v>0</v>
      </c>
      <c r="P213" s="48">
        <f>原始值!I213+VLOOKUP($H213,怪物强度修正!$A$2:$R$17,COLUMN(P213)-9,FALSE)</f>
        <v>0</v>
      </c>
      <c r="Q213" s="48">
        <f>原始值!J213+VLOOKUP($H213,怪物强度修正!$A$2:$R$17,COLUMN(Q213)-9,FALSE)</f>
        <v>3</v>
      </c>
      <c r="R213" s="48">
        <f>原始值!K213+VLOOKUP($H213,怪物强度修正!$A$2:$R$17,COLUMN(R213)-9,FALSE)</f>
        <v>3</v>
      </c>
      <c r="S213" s="48">
        <f>原始值!L213+VLOOKUP($H213,怪物强度修正!$A$2:$R$17,COLUMN(S213)-9,FALSE)</f>
        <v>7</v>
      </c>
      <c r="T213" s="48">
        <f>原始值!M213+VLOOKUP($H213,怪物强度修正!$A$2:$R$17,COLUMN(T213)-9,FALSE)</f>
        <v>7</v>
      </c>
      <c r="U213" s="48">
        <f>原始值!N213+VLOOKUP($H213,怪物强度修正!$A$2:$R$17,COLUMN(U213)-9,FALSE)</f>
        <v>38</v>
      </c>
      <c r="V213" s="48">
        <v>1</v>
      </c>
      <c r="W213" s="48">
        <f>原始值!P213+VLOOKUP($H213,怪物强度修正!$A$2:$R$17,COLUMN(W213)-9,FALSE)</f>
        <v>5</v>
      </c>
      <c r="X213" s="48">
        <f>原始值!Q213+VLOOKUP($H213,怪物强度修正!$A$2:$R$17,COLUMN(X213)-9,FALSE)</f>
        <v>10</v>
      </c>
      <c r="Y213" s="48">
        <f>原始值!R213+VLOOKUP($H213,怪物强度修正!$A$2:$R$17,COLUMN(Y213)-9,FALSE)</f>
        <v>75</v>
      </c>
      <c r="Z213" s="48">
        <f>原始值!S213+VLOOKUP($H213,怪物强度修正!$A$2:$R$17,COLUMN(Z213)-9,FALSE)</f>
        <v>300</v>
      </c>
      <c r="AA213" s="48">
        <f>原始值!T213+VLOOKUP($H213,怪物强度修正!$A$2:$R$17,COLUMN(AA213)-9,FALSE)</f>
        <v>50</v>
      </c>
    </row>
    <row r="214" spans="1:27" s="48" customFormat="1">
      <c r="A214" s="48" t="str">
        <f t="shared" si="40"/>
        <v>PhyType.NewNpcType_434</v>
      </c>
      <c r="B214" s="48" t="s">
        <v>137</v>
      </c>
      <c r="C214" s="48">
        <v>434</v>
      </c>
      <c r="D214" s="48">
        <v>434</v>
      </c>
      <c r="E214" s="47"/>
      <c r="F214" s="47"/>
      <c r="G214" s="48" t="str">
        <f t="shared" si="52"/>
        <v>祖玛老鼠散人精英</v>
      </c>
      <c r="H214" s="48" t="str">
        <f t="shared" si="53"/>
        <v>祖玛寺庙</v>
      </c>
      <c r="I214" s="48">
        <f t="shared" si="54"/>
        <v>1049</v>
      </c>
      <c r="J214" s="47"/>
      <c r="K214" s="48">
        <f>原始值!D214+VLOOKUP($H214,怪物强度修正!$A$2:$R$17,COLUMN(K214)-9,FALSE)</f>
        <v>22</v>
      </c>
      <c r="L214" s="48">
        <f>原始值!E214+VLOOKUP($H214,怪物强度修正!$A$2:$R$17,COLUMN(L214)-9,FALSE)</f>
        <v>39</v>
      </c>
      <c r="M214" s="48">
        <f t="shared" si="50"/>
        <v>22</v>
      </c>
      <c r="N214" s="48">
        <f t="shared" si="51"/>
        <v>39</v>
      </c>
      <c r="O214" s="48">
        <f>原始值!H214+VLOOKUP($H214,怪物强度修正!$A$2:$R$17,COLUMN(O214)-9,FALSE)</f>
        <v>0</v>
      </c>
      <c r="P214" s="48">
        <f>原始值!I214+VLOOKUP($H214,怪物强度修正!$A$2:$R$17,COLUMN(P214)-9,FALSE)</f>
        <v>0</v>
      </c>
      <c r="Q214" s="48">
        <f>原始值!J214+VLOOKUP($H214,怪物强度修正!$A$2:$R$17,COLUMN(Q214)-9,FALSE)</f>
        <v>5</v>
      </c>
      <c r="R214" s="48">
        <f>原始值!K214+VLOOKUP($H214,怪物强度修正!$A$2:$R$17,COLUMN(R214)-9,FALSE)</f>
        <v>5</v>
      </c>
      <c r="S214" s="48">
        <f>原始值!L214+VLOOKUP($H214,怪物强度修正!$A$2:$R$17,COLUMN(S214)-9,FALSE)</f>
        <v>15</v>
      </c>
      <c r="T214" s="48">
        <f>原始值!M214+VLOOKUP($H214,怪物强度修正!$A$2:$R$17,COLUMN(T214)-9,FALSE)</f>
        <v>15</v>
      </c>
      <c r="U214" s="48">
        <f>原始值!N214+VLOOKUP($H214,怪物强度修正!$A$2:$R$17,COLUMN(U214)-9,FALSE)</f>
        <v>385</v>
      </c>
      <c r="V214" s="48">
        <v>1</v>
      </c>
      <c r="W214" s="48">
        <f>原始值!P214+VLOOKUP($H214,怪物强度修正!$A$2:$R$17,COLUMN(W214)-9,FALSE)</f>
        <v>12</v>
      </c>
      <c r="X214" s="48">
        <f>原始值!Q214+VLOOKUP($H214,怪物强度修正!$A$2:$R$17,COLUMN(X214)-9,FALSE)</f>
        <v>15</v>
      </c>
      <c r="Y214" s="48">
        <f>原始值!R214+VLOOKUP($H214,怪物强度修正!$A$2:$R$17,COLUMN(Y214)-9,FALSE)</f>
        <v>75</v>
      </c>
      <c r="Z214" s="48">
        <f>原始值!S214+VLOOKUP($H214,怪物强度修正!$A$2:$R$17,COLUMN(Z214)-9,FALSE)</f>
        <v>300</v>
      </c>
      <c r="AA214" s="48">
        <f>原始值!T214+VLOOKUP($H214,怪物强度修正!$A$2:$R$17,COLUMN(AA214)-9,FALSE)</f>
        <v>50</v>
      </c>
    </row>
    <row r="215" spans="1:27" s="48" customFormat="1">
      <c r="A215" s="48" t="str">
        <f t="shared" si="40"/>
        <v>PhyType.NewNpcType_435</v>
      </c>
      <c r="B215" s="48" t="s">
        <v>137</v>
      </c>
      <c r="C215" s="48">
        <v>435</v>
      </c>
      <c r="D215" s="48">
        <v>435</v>
      </c>
      <c r="E215" s="47"/>
      <c r="F215" s="47"/>
      <c r="G215" s="48" t="str">
        <f t="shared" si="52"/>
        <v>祖玛卫士弓散人精英</v>
      </c>
      <c r="H215" s="48" t="str">
        <f t="shared" si="53"/>
        <v>祖玛寺庙</v>
      </c>
      <c r="I215" s="48">
        <f t="shared" si="54"/>
        <v>1109</v>
      </c>
      <c r="J215" s="47"/>
      <c r="K215" s="48">
        <f>原始值!D215+VLOOKUP($H215,怪物强度修正!$A$2:$R$17,COLUMN(K215)-9,FALSE)</f>
        <v>22</v>
      </c>
      <c r="L215" s="48">
        <f>原始值!E215+VLOOKUP($H215,怪物强度修正!$A$2:$R$17,COLUMN(L215)-9,FALSE)</f>
        <v>31</v>
      </c>
      <c r="M215" s="48">
        <f t="shared" si="50"/>
        <v>22</v>
      </c>
      <c r="N215" s="48">
        <f t="shared" si="51"/>
        <v>31</v>
      </c>
      <c r="O215" s="48">
        <f>原始值!H215+VLOOKUP($H215,怪物强度修正!$A$2:$R$17,COLUMN(O215)-9,FALSE)</f>
        <v>0</v>
      </c>
      <c r="P215" s="48">
        <f>原始值!I215+VLOOKUP($H215,怪物强度修正!$A$2:$R$17,COLUMN(P215)-9,FALSE)</f>
        <v>0</v>
      </c>
      <c r="Q215" s="48">
        <f>原始值!J215+VLOOKUP($H215,怪物强度修正!$A$2:$R$17,COLUMN(Q215)-9,FALSE)</f>
        <v>14</v>
      </c>
      <c r="R215" s="48">
        <f>原始值!K215+VLOOKUP($H215,怪物强度修正!$A$2:$R$17,COLUMN(R215)-9,FALSE)</f>
        <v>14</v>
      </c>
      <c r="S215" s="48">
        <f>原始值!L215+VLOOKUP($H215,怪物强度修正!$A$2:$R$17,COLUMN(S215)-9,FALSE)</f>
        <v>22</v>
      </c>
      <c r="T215" s="48">
        <f>原始值!M215+VLOOKUP($H215,怪物强度修正!$A$2:$R$17,COLUMN(T215)-9,FALSE)</f>
        <v>22</v>
      </c>
      <c r="U215" s="48">
        <f>原始值!N215+VLOOKUP($H215,怪物强度修正!$A$2:$R$17,COLUMN(U215)-9,FALSE)</f>
        <v>385</v>
      </c>
      <c r="V215" s="48">
        <v>1</v>
      </c>
      <c r="W215" s="48">
        <f>原始值!P215+VLOOKUP($H215,怪物强度修正!$A$2:$R$17,COLUMN(W215)-9,FALSE)</f>
        <v>15</v>
      </c>
      <c r="X215" s="48">
        <f>原始值!Q215+VLOOKUP($H215,怪物强度修正!$A$2:$R$17,COLUMN(X215)-9,FALSE)</f>
        <v>15</v>
      </c>
      <c r="Y215" s="48">
        <f>原始值!R215+VLOOKUP($H215,怪物强度修正!$A$2:$R$17,COLUMN(Y215)-9,FALSE)</f>
        <v>75</v>
      </c>
      <c r="Z215" s="48">
        <f>原始值!S215+VLOOKUP($H215,怪物强度修正!$A$2:$R$17,COLUMN(Z215)-9,FALSE)</f>
        <v>300</v>
      </c>
      <c r="AA215" s="48">
        <f>原始值!T215+VLOOKUP($H215,怪物强度修正!$A$2:$R$17,COLUMN(AA215)-9,FALSE)</f>
        <v>50</v>
      </c>
    </row>
    <row r="216" spans="1:27" s="48" customFormat="1">
      <c r="A216" s="48" t="str">
        <f t="shared" si="40"/>
        <v>PhyType.NewNpcType_436</v>
      </c>
      <c r="B216" s="48" t="s">
        <v>137</v>
      </c>
      <c r="C216" s="48">
        <v>436</v>
      </c>
      <c r="D216" s="48">
        <v>436</v>
      </c>
      <c r="E216" s="47"/>
      <c r="F216" s="47"/>
      <c r="G216" s="48" t="str">
        <f t="shared" si="52"/>
        <v>祖玛卫士枪散人精英</v>
      </c>
      <c r="H216" s="48" t="str">
        <f t="shared" si="53"/>
        <v>祖玛寺庙</v>
      </c>
      <c r="I216" s="48">
        <f t="shared" si="54"/>
        <v>1349</v>
      </c>
      <c r="J216" s="47"/>
      <c r="K216" s="48">
        <f>原始值!D216+VLOOKUP($H216,怪物强度修正!$A$2:$R$17,COLUMN(K216)-9,FALSE)</f>
        <v>34</v>
      </c>
      <c r="L216" s="48">
        <f>原始值!E216+VLOOKUP($H216,怪物强度修正!$A$2:$R$17,COLUMN(L216)-9,FALSE)</f>
        <v>52</v>
      </c>
      <c r="M216" s="48">
        <f t="shared" si="50"/>
        <v>34</v>
      </c>
      <c r="N216" s="48">
        <f t="shared" si="51"/>
        <v>52</v>
      </c>
      <c r="O216" s="48">
        <f>原始值!H216+VLOOKUP($H216,怪物强度修正!$A$2:$R$17,COLUMN(O216)-9,FALSE)</f>
        <v>0</v>
      </c>
      <c r="P216" s="48">
        <f>原始值!I216+VLOOKUP($H216,怪物强度修正!$A$2:$R$17,COLUMN(P216)-9,FALSE)</f>
        <v>0</v>
      </c>
      <c r="Q216" s="48">
        <f>原始值!J216+VLOOKUP($H216,怪物强度修正!$A$2:$R$17,COLUMN(Q216)-9,FALSE)</f>
        <v>17</v>
      </c>
      <c r="R216" s="48">
        <f>原始值!K216+VLOOKUP($H216,怪物强度修正!$A$2:$R$17,COLUMN(R216)-9,FALSE)</f>
        <v>17</v>
      </c>
      <c r="S216" s="48">
        <f>原始值!L216+VLOOKUP($H216,怪物强度修正!$A$2:$R$17,COLUMN(S216)-9,FALSE)</f>
        <v>25</v>
      </c>
      <c r="T216" s="48">
        <f>原始值!M216+VLOOKUP($H216,怪物强度修正!$A$2:$R$17,COLUMN(T216)-9,FALSE)</f>
        <v>25</v>
      </c>
      <c r="U216" s="48">
        <f>原始值!N216+VLOOKUP($H216,怪物强度修正!$A$2:$R$17,COLUMN(U216)-9,FALSE)</f>
        <v>495</v>
      </c>
      <c r="V216" s="48">
        <v>1</v>
      </c>
      <c r="W216" s="48">
        <f>原始值!P216+VLOOKUP($H216,怪物强度修正!$A$2:$R$17,COLUMN(W216)-9,FALSE)</f>
        <v>15</v>
      </c>
      <c r="X216" s="48">
        <f>原始值!Q216+VLOOKUP($H216,怪物强度修正!$A$2:$R$17,COLUMN(X216)-9,FALSE)</f>
        <v>17</v>
      </c>
      <c r="Y216" s="48">
        <f>原始值!R216+VLOOKUP($H216,怪物强度修正!$A$2:$R$17,COLUMN(Y216)-9,FALSE)</f>
        <v>75</v>
      </c>
      <c r="Z216" s="48">
        <f>原始值!S216+VLOOKUP($H216,怪物强度修正!$A$2:$R$17,COLUMN(Z216)-9,FALSE)</f>
        <v>300</v>
      </c>
      <c r="AA216" s="48">
        <f>原始值!T216+VLOOKUP($H216,怪物强度修正!$A$2:$R$17,COLUMN(AA216)-9,FALSE)</f>
        <v>50</v>
      </c>
    </row>
    <row r="217" spans="1:27" s="48" customFormat="1">
      <c r="A217" s="48" t="str">
        <f t="shared" si="40"/>
        <v>PhyType.NewNpcType_437</v>
      </c>
      <c r="B217" s="48" t="s">
        <v>137</v>
      </c>
      <c r="C217" s="48">
        <v>437</v>
      </c>
      <c r="D217" s="48">
        <v>437</v>
      </c>
      <c r="E217" s="47"/>
      <c r="F217" s="47"/>
      <c r="G217" s="48" t="str">
        <f t="shared" si="52"/>
        <v>祖玛卫士锤散人精英</v>
      </c>
      <c r="H217" s="48" t="str">
        <f t="shared" si="53"/>
        <v>祖玛寺庙</v>
      </c>
      <c r="I217" s="48">
        <f t="shared" si="54"/>
        <v>1439</v>
      </c>
      <c r="J217" s="47"/>
      <c r="K217" s="48">
        <f>原始值!D217+VLOOKUP($H217,怪物强度修正!$A$2:$R$17,COLUMN(K217)-9,FALSE)</f>
        <v>37</v>
      </c>
      <c r="L217" s="48">
        <f>原始值!E217+VLOOKUP($H217,怪物强度修正!$A$2:$R$17,COLUMN(L217)-9,FALSE)</f>
        <v>55</v>
      </c>
      <c r="M217" s="48">
        <f t="shared" si="50"/>
        <v>37</v>
      </c>
      <c r="N217" s="48">
        <f t="shared" si="51"/>
        <v>55</v>
      </c>
      <c r="O217" s="48">
        <f>原始值!H217+VLOOKUP($H217,怪物强度修正!$A$2:$R$17,COLUMN(O217)-9,FALSE)</f>
        <v>0</v>
      </c>
      <c r="P217" s="48">
        <f>原始值!I217+VLOOKUP($H217,怪物强度修正!$A$2:$R$17,COLUMN(P217)-9,FALSE)</f>
        <v>0</v>
      </c>
      <c r="Q217" s="48">
        <f>原始值!J217+VLOOKUP($H217,怪物强度修正!$A$2:$R$17,COLUMN(Q217)-9,FALSE)</f>
        <v>21</v>
      </c>
      <c r="R217" s="48">
        <f>原始值!K217+VLOOKUP($H217,怪物强度修正!$A$2:$R$17,COLUMN(R217)-9,FALSE)</f>
        <v>21</v>
      </c>
      <c r="S217" s="48">
        <f>原始值!L217+VLOOKUP($H217,怪物强度修正!$A$2:$R$17,COLUMN(S217)-9,FALSE)</f>
        <v>30</v>
      </c>
      <c r="T217" s="48">
        <f>原始值!M217+VLOOKUP($H217,怪物强度修正!$A$2:$R$17,COLUMN(T217)-9,FALSE)</f>
        <v>30</v>
      </c>
      <c r="U217" s="48">
        <f>原始值!N217+VLOOKUP($H217,怪物强度修正!$A$2:$R$17,COLUMN(U217)-9,FALSE)</f>
        <v>495</v>
      </c>
      <c r="V217" s="48">
        <v>1</v>
      </c>
      <c r="W217" s="48">
        <f>原始值!P217+VLOOKUP($H217,怪物强度修正!$A$2:$R$17,COLUMN(W217)-9,FALSE)</f>
        <v>15</v>
      </c>
      <c r="X217" s="48">
        <f>原始值!Q217+VLOOKUP($H217,怪物强度修正!$A$2:$R$17,COLUMN(X217)-9,FALSE)</f>
        <v>17</v>
      </c>
      <c r="Y217" s="48">
        <f>原始值!R217+VLOOKUP($H217,怪物强度修正!$A$2:$R$17,COLUMN(Y217)-9,FALSE)</f>
        <v>75</v>
      </c>
      <c r="Z217" s="48">
        <f>原始值!S217+VLOOKUP($H217,怪物强度修正!$A$2:$R$17,COLUMN(Z217)-9,FALSE)</f>
        <v>300</v>
      </c>
      <c r="AA217" s="48">
        <f>原始值!T217+VLOOKUP($H217,怪物强度修正!$A$2:$R$17,COLUMN(AA217)-9,FALSE)</f>
        <v>50</v>
      </c>
    </row>
    <row r="218" spans="1:27" s="48" customFormat="1">
      <c r="A218" s="48" t="str">
        <f t="shared" si="40"/>
        <v>PhyType.NewNpcType_441</v>
      </c>
      <c r="B218" s="48" t="s">
        <v>137</v>
      </c>
      <c r="C218" s="48">
        <v>441</v>
      </c>
      <c r="D218" s="48">
        <v>441</v>
      </c>
      <c r="E218" s="47"/>
      <c r="F218" s="47"/>
      <c r="G218" s="48" t="str">
        <f t="shared" si="52"/>
        <v>角蝇散人精英</v>
      </c>
      <c r="H218" s="48" t="str">
        <f t="shared" si="53"/>
        <v>祖玛寺庙</v>
      </c>
      <c r="I218" s="48">
        <f t="shared" si="54"/>
        <v>899</v>
      </c>
      <c r="J218" s="47"/>
      <c r="K218" s="48">
        <f>原始值!D218+VLOOKUP($H218,怪物强度修正!$A$2:$R$17,COLUMN(K218)-9,FALSE)</f>
        <v>4</v>
      </c>
      <c r="L218" s="48">
        <f>原始值!E218+VLOOKUP($H218,怪物强度修正!$A$2:$R$17,COLUMN(L218)-9,FALSE)</f>
        <v>4</v>
      </c>
      <c r="M218" s="48">
        <f t="shared" si="50"/>
        <v>4</v>
      </c>
      <c r="N218" s="48">
        <f t="shared" si="51"/>
        <v>4</v>
      </c>
      <c r="O218" s="48">
        <f>原始值!H218+VLOOKUP($H218,怪物强度修正!$A$2:$R$17,COLUMN(O218)-9,FALSE)</f>
        <v>0</v>
      </c>
      <c r="P218" s="48">
        <f>原始值!I218+VLOOKUP($H218,怪物强度修正!$A$2:$R$17,COLUMN(P218)-9,FALSE)</f>
        <v>0</v>
      </c>
      <c r="Q218" s="48">
        <f>原始值!J218+VLOOKUP($H218,怪物强度修正!$A$2:$R$17,COLUMN(Q218)-9,FALSE)</f>
        <v>1</v>
      </c>
      <c r="R218" s="48">
        <f>原始值!K218+VLOOKUP($H218,怪物强度修正!$A$2:$R$17,COLUMN(R218)-9,FALSE)</f>
        <v>1</v>
      </c>
      <c r="S218" s="48">
        <f>原始值!L218+VLOOKUP($H218,怪物强度修正!$A$2:$R$17,COLUMN(S218)-9,FALSE)</f>
        <v>16</v>
      </c>
      <c r="T218" s="48">
        <f>原始值!M218+VLOOKUP($H218,怪物强度修正!$A$2:$R$17,COLUMN(T218)-9,FALSE)</f>
        <v>16</v>
      </c>
      <c r="U218" s="48">
        <f>原始值!N218+VLOOKUP($H218,怪物强度修正!$A$2:$R$17,COLUMN(U218)-9,FALSE)</f>
        <v>200</v>
      </c>
      <c r="V218" s="48">
        <v>1</v>
      </c>
      <c r="W218" s="48">
        <f>原始值!P218+VLOOKUP($H218,怪物强度修正!$A$2:$R$17,COLUMN(W218)-9,FALSE)</f>
        <v>1</v>
      </c>
      <c r="X218" s="48">
        <f>原始值!Q218+VLOOKUP($H218,怪物强度修正!$A$2:$R$17,COLUMN(X218)-9,FALSE)</f>
        <v>1</v>
      </c>
      <c r="Y218" s="48">
        <f>原始值!R218+VLOOKUP($H218,怪物强度修正!$A$2:$R$17,COLUMN(Y218)-9,FALSE)</f>
        <v>75</v>
      </c>
      <c r="Z218" s="48">
        <f>原始值!S218+VLOOKUP($H218,怪物强度修正!$A$2:$R$17,COLUMN(Z218)-9,FALSE)</f>
        <v>300</v>
      </c>
      <c r="AA218" s="48">
        <f>原始值!T218+VLOOKUP($H218,怪物强度修正!$A$2:$R$17,COLUMN(AA218)-9,FALSE)</f>
        <v>50</v>
      </c>
    </row>
    <row r="219" spans="1:27" s="48" customFormat="1">
      <c r="A219" s="48" t="str">
        <f t="shared" si="40"/>
        <v>PhyType.NewNpcType_439</v>
      </c>
      <c r="B219" s="48" t="s">
        <v>137</v>
      </c>
      <c r="C219" s="48">
        <v>439</v>
      </c>
      <c r="D219" s="48">
        <v>439</v>
      </c>
      <c r="E219" s="47"/>
      <c r="F219" s="47"/>
      <c r="G219" s="48" t="str">
        <f t="shared" si="52"/>
        <v>蝙蝠散人精英</v>
      </c>
      <c r="H219" s="48" t="str">
        <f t="shared" si="53"/>
        <v>祖玛寺庙</v>
      </c>
      <c r="I219" s="48">
        <f t="shared" si="54"/>
        <v>14</v>
      </c>
      <c r="J219" s="47"/>
      <c r="K219" s="48">
        <f>原始值!D219+VLOOKUP($H219,怪物强度修正!$A$2:$R$17,COLUMN(K219)-9,FALSE)</f>
        <v>4</v>
      </c>
      <c r="L219" s="48">
        <f>原始值!E219+VLOOKUP($H219,怪物强度修正!$A$2:$R$17,COLUMN(L219)-9,FALSE)</f>
        <v>37</v>
      </c>
      <c r="M219" s="48">
        <f t="shared" si="50"/>
        <v>4</v>
      </c>
      <c r="N219" s="48">
        <f t="shared" si="51"/>
        <v>37</v>
      </c>
      <c r="O219" s="48">
        <f>原始值!H219+VLOOKUP($H219,怪物强度修正!$A$2:$R$17,COLUMN(O219)-9,FALSE)</f>
        <v>0</v>
      </c>
      <c r="P219" s="48">
        <f>原始值!I219+VLOOKUP($H219,怪物强度修正!$A$2:$R$17,COLUMN(P219)-9,FALSE)</f>
        <v>0</v>
      </c>
      <c r="Q219" s="48">
        <f>原始值!J219+VLOOKUP($H219,怪物强度修正!$A$2:$R$17,COLUMN(Q219)-9,FALSE)</f>
        <v>1</v>
      </c>
      <c r="R219" s="48">
        <f>原始值!K219+VLOOKUP($H219,怪物强度修正!$A$2:$R$17,COLUMN(R219)-9,FALSE)</f>
        <v>1</v>
      </c>
      <c r="S219" s="48">
        <f>原始值!L219+VLOOKUP($H219,怪物强度修正!$A$2:$R$17,COLUMN(S219)-9,FALSE)</f>
        <v>7</v>
      </c>
      <c r="T219" s="48">
        <f>原始值!M219+VLOOKUP($H219,怪物强度修正!$A$2:$R$17,COLUMN(T219)-9,FALSE)</f>
        <v>7</v>
      </c>
      <c r="U219" s="48">
        <f>原始值!N219+VLOOKUP($H219,怪物强度修正!$A$2:$R$17,COLUMN(U219)-9,FALSE)</f>
        <v>3</v>
      </c>
      <c r="V219" s="48">
        <v>1</v>
      </c>
      <c r="W219" s="48">
        <f>原始值!P219+VLOOKUP($H219,怪物强度修正!$A$2:$R$17,COLUMN(W219)-9,FALSE)</f>
        <v>18</v>
      </c>
      <c r="X219" s="48">
        <f>原始值!Q219+VLOOKUP($H219,怪物强度修正!$A$2:$R$17,COLUMN(X219)-9,FALSE)</f>
        <v>5</v>
      </c>
      <c r="Y219" s="48">
        <f>原始值!R219+VLOOKUP($H219,怪物强度修正!$A$2:$R$17,COLUMN(Y219)-9,FALSE)</f>
        <v>75</v>
      </c>
      <c r="Z219" s="48">
        <f>原始值!S219+VLOOKUP($H219,怪物强度修正!$A$2:$R$17,COLUMN(Z219)-9,FALSE)</f>
        <v>300</v>
      </c>
      <c r="AA219" s="48">
        <f>原始值!T219+VLOOKUP($H219,怪物强度修正!$A$2:$R$17,COLUMN(AA219)-9,FALSE)</f>
        <v>50</v>
      </c>
    </row>
    <row r="220" spans="1:27" s="48" customFormat="1">
      <c r="A220" s="48" t="str">
        <f t="shared" si="40"/>
        <v>PhyType.NewNpcType_440</v>
      </c>
      <c r="B220" s="48" t="s">
        <v>137</v>
      </c>
      <c r="C220" s="48">
        <v>440</v>
      </c>
      <c r="D220" s="48">
        <v>440</v>
      </c>
      <c r="E220" s="47"/>
      <c r="F220" s="47"/>
      <c r="G220" s="48" t="str">
        <f t="shared" si="52"/>
        <v>楔蛾散人精英</v>
      </c>
      <c r="H220" s="48" t="str">
        <f t="shared" si="53"/>
        <v>祖玛寺庙</v>
      </c>
      <c r="I220" s="48">
        <f t="shared" si="54"/>
        <v>1049</v>
      </c>
      <c r="J220" s="47"/>
      <c r="K220" s="48">
        <f>原始值!D220+VLOOKUP($H220,怪物强度修正!$A$2:$R$17,COLUMN(K220)-9,FALSE)</f>
        <v>24</v>
      </c>
      <c r="L220" s="48">
        <f>原始值!E220+VLOOKUP($H220,怪物强度修正!$A$2:$R$17,COLUMN(L220)-9,FALSE)</f>
        <v>31</v>
      </c>
      <c r="M220" s="48">
        <f t="shared" si="50"/>
        <v>24</v>
      </c>
      <c r="N220" s="48">
        <f t="shared" si="51"/>
        <v>31</v>
      </c>
      <c r="O220" s="48">
        <f>原始值!H220+VLOOKUP($H220,怪物强度修正!$A$2:$R$17,COLUMN(O220)-9,FALSE)</f>
        <v>0</v>
      </c>
      <c r="P220" s="48">
        <f>原始值!I220+VLOOKUP($H220,怪物强度修正!$A$2:$R$17,COLUMN(P220)-9,FALSE)</f>
        <v>0</v>
      </c>
      <c r="Q220" s="48">
        <f>原始值!J220+VLOOKUP($H220,怪物强度修正!$A$2:$R$17,COLUMN(Q220)-9,FALSE)</f>
        <v>1</v>
      </c>
      <c r="R220" s="48">
        <f>原始值!K220+VLOOKUP($H220,怪物强度修正!$A$2:$R$17,COLUMN(R220)-9,FALSE)</f>
        <v>1</v>
      </c>
      <c r="S220" s="48">
        <f>原始值!L220+VLOOKUP($H220,怪物强度修正!$A$2:$R$17,COLUMN(S220)-9,FALSE)</f>
        <v>15</v>
      </c>
      <c r="T220" s="48">
        <f>原始值!M220+VLOOKUP($H220,怪物强度修正!$A$2:$R$17,COLUMN(T220)-9,FALSE)</f>
        <v>15</v>
      </c>
      <c r="U220" s="48">
        <f>原始值!N220+VLOOKUP($H220,怪物强度修正!$A$2:$R$17,COLUMN(U220)-9,FALSE)</f>
        <v>220</v>
      </c>
      <c r="V220" s="48">
        <v>1</v>
      </c>
      <c r="W220" s="48">
        <f>原始值!P220+VLOOKUP($H220,怪物强度修正!$A$2:$R$17,COLUMN(W220)-9,FALSE)</f>
        <v>15</v>
      </c>
      <c r="X220" s="48">
        <f>原始值!Q220+VLOOKUP($H220,怪物强度修正!$A$2:$R$17,COLUMN(X220)-9,FALSE)</f>
        <v>17</v>
      </c>
      <c r="Y220" s="48">
        <f>原始值!R220+VLOOKUP($H220,怪物强度修正!$A$2:$R$17,COLUMN(Y220)-9,FALSE)</f>
        <v>75</v>
      </c>
      <c r="Z220" s="48">
        <f>原始值!S220+VLOOKUP($H220,怪物强度修正!$A$2:$R$17,COLUMN(Z220)-9,FALSE)</f>
        <v>300</v>
      </c>
      <c r="AA220" s="48">
        <f>原始值!T220+VLOOKUP($H220,怪物强度修正!$A$2:$R$17,COLUMN(AA220)-9,FALSE)</f>
        <v>50</v>
      </c>
    </row>
    <row r="221" spans="1:27" s="48" customFormat="1">
      <c r="A221" s="48" t="str">
        <f t="shared" ref="A221:A230" si="55">"PhyType.NewNpcType_"&amp;D221</f>
        <v>PhyType.NewNpcType_442</v>
      </c>
      <c r="B221" s="48" t="s">
        <v>137</v>
      </c>
      <c r="C221" s="48">
        <v>442</v>
      </c>
      <c r="D221" s="48">
        <v>442</v>
      </c>
      <c r="E221" s="47"/>
      <c r="F221" s="47"/>
      <c r="G221" s="48" t="str">
        <f t="shared" si="52"/>
        <v>鹰卫散人精英</v>
      </c>
      <c r="H221" s="48" t="str">
        <f t="shared" si="53"/>
        <v>赤月峡谷</v>
      </c>
      <c r="I221" s="48">
        <f t="shared" si="54"/>
        <v>1499</v>
      </c>
      <c r="J221" s="47"/>
      <c r="K221" s="48">
        <f>原始值!D221+VLOOKUP($H221,怪物强度修正!$A$2:$R$17,COLUMN(K221)-9,FALSE)</f>
        <v>50</v>
      </c>
      <c r="L221" s="48">
        <f>原始值!E221+VLOOKUP($H221,怪物强度修正!$A$2:$R$17,COLUMN(L221)-9,FALSE)</f>
        <v>80</v>
      </c>
      <c r="M221" s="48">
        <f t="shared" ref="M221:M230" si="56">K221</f>
        <v>50</v>
      </c>
      <c r="N221" s="48">
        <f t="shared" ref="N221:N230" si="57">L221</f>
        <v>80</v>
      </c>
      <c r="O221" s="48">
        <f>原始值!H221+VLOOKUP($H221,怪物强度修正!$A$2:$R$17,COLUMN(O221)-9,FALSE)</f>
        <v>0</v>
      </c>
      <c r="P221" s="48">
        <f>原始值!I221+VLOOKUP($H221,怪物强度修正!$A$2:$R$17,COLUMN(P221)-9,FALSE)</f>
        <v>0</v>
      </c>
      <c r="Q221" s="48">
        <f>原始值!J221+VLOOKUP($H221,怪物强度修正!$A$2:$R$17,COLUMN(Q221)-9,FALSE)</f>
        <v>21</v>
      </c>
      <c r="R221" s="48">
        <f>原始值!K221+VLOOKUP($H221,怪物强度修正!$A$2:$R$17,COLUMN(R221)-9,FALSE)</f>
        <v>21</v>
      </c>
      <c r="S221" s="48">
        <f>原始值!L221+VLOOKUP($H221,怪物强度修正!$A$2:$R$17,COLUMN(S221)-9,FALSE)</f>
        <v>34</v>
      </c>
      <c r="T221" s="48">
        <f>原始值!M221+VLOOKUP($H221,怪物强度修正!$A$2:$R$17,COLUMN(T221)-9,FALSE)</f>
        <v>34</v>
      </c>
      <c r="U221" s="48">
        <f>原始值!N221+VLOOKUP($H221,怪物强度修正!$A$2:$R$17,COLUMN(U221)-9,FALSE)</f>
        <v>1500</v>
      </c>
      <c r="V221" s="48">
        <v>2</v>
      </c>
      <c r="W221" s="48">
        <f>原始值!P221+VLOOKUP($H221,怪物强度修正!$A$2:$R$17,COLUMN(W221)-9,FALSE)</f>
        <v>15</v>
      </c>
      <c r="X221" s="48">
        <f>原始值!Q221+VLOOKUP($H221,怪物强度修正!$A$2:$R$17,COLUMN(X221)-9,FALSE)</f>
        <v>20</v>
      </c>
      <c r="Y221" s="48">
        <f>原始值!R221+VLOOKUP($H221,怪物强度修正!$A$2:$R$17,COLUMN(Y221)-9,FALSE)</f>
        <v>75</v>
      </c>
      <c r="Z221" s="48">
        <f>原始值!S221+VLOOKUP($H221,怪物强度修正!$A$2:$R$17,COLUMN(Z221)-9,FALSE)</f>
        <v>300</v>
      </c>
      <c r="AA221" s="48">
        <f>原始值!T221+VLOOKUP($H221,怪物强度修正!$A$2:$R$17,COLUMN(AA221)-9,FALSE)</f>
        <v>50</v>
      </c>
    </row>
    <row r="222" spans="1:27" s="48" customFormat="1">
      <c r="A222" s="48" t="str">
        <f t="shared" si="55"/>
        <v>PhyType.NewNpcType_443</v>
      </c>
      <c r="B222" s="48" t="s">
        <v>137</v>
      </c>
      <c r="C222" s="48">
        <v>443</v>
      </c>
      <c r="D222" s="48">
        <v>443</v>
      </c>
      <c r="E222" s="47"/>
      <c r="F222" s="47"/>
      <c r="G222" s="48" t="str">
        <f t="shared" si="52"/>
        <v>月魔蜘蛛散人精英</v>
      </c>
      <c r="H222" s="48" t="str">
        <f t="shared" si="53"/>
        <v>赤月峡谷</v>
      </c>
      <c r="I222" s="48">
        <f t="shared" si="54"/>
        <v>2099</v>
      </c>
      <c r="J222" s="47"/>
      <c r="K222" s="48">
        <f>原始值!D222+VLOOKUP($H222,怪物强度修正!$A$2:$R$17,COLUMN(K222)-9,FALSE)</f>
        <v>46</v>
      </c>
      <c r="L222" s="48">
        <f>原始值!E222+VLOOKUP($H222,怪物强度修正!$A$2:$R$17,COLUMN(L222)-9,FALSE)</f>
        <v>46</v>
      </c>
      <c r="M222" s="48">
        <f t="shared" si="56"/>
        <v>46</v>
      </c>
      <c r="N222" s="48">
        <f t="shared" si="57"/>
        <v>46</v>
      </c>
      <c r="O222" s="48">
        <f>原始值!H222+VLOOKUP($H222,怪物强度修正!$A$2:$R$17,COLUMN(O222)-9,FALSE)</f>
        <v>0</v>
      </c>
      <c r="P222" s="48">
        <f>原始值!I222+VLOOKUP($H222,怪物强度修正!$A$2:$R$17,COLUMN(P222)-9,FALSE)</f>
        <v>0</v>
      </c>
      <c r="Q222" s="48">
        <f>原始值!J222+VLOOKUP($H222,怪物强度修正!$A$2:$R$17,COLUMN(Q222)-9,FALSE)</f>
        <v>17</v>
      </c>
      <c r="R222" s="48">
        <f>原始值!K222+VLOOKUP($H222,怪物强度修正!$A$2:$R$17,COLUMN(R222)-9,FALSE)</f>
        <v>17</v>
      </c>
      <c r="S222" s="48">
        <f>原始值!L222+VLOOKUP($H222,怪物强度修正!$A$2:$R$17,COLUMN(S222)-9,FALSE)</f>
        <v>49</v>
      </c>
      <c r="T222" s="48">
        <f>原始值!M222+VLOOKUP($H222,怪物强度修正!$A$2:$R$17,COLUMN(T222)-9,FALSE)</f>
        <v>49</v>
      </c>
      <c r="U222" s="48">
        <f>原始值!N222+VLOOKUP($H222,怪物强度修正!$A$2:$R$17,COLUMN(U222)-9,FALSE)</f>
        <v>850</v>
      </c>
      <c r="V222" s="48">
        <v>3</v>
      </c>
      <c r="W222" s="48">
        <f>原始值!P222+VLOOKUP($H222,怪物强度修正!$A$2:$R$17,COLUMN(W222)-9,FALSE)</f>
        <v>50</v>
      </c>
      <c r="X222" s="48">
        <f>原始值!Q222+VLOOKUP($H222,怪物强度修正!$A$2:$R$17,COLUMN(X222)-9,FALSE)</f>
        <v>20</v>
      </c>
      <c r="Y222" s="48">
        <f>原始值!R222+VLOOKUP($H222,怪物强度修正!$A$2:$R$17,COLUMN(Y222)-9,FALSE)</f>
        <v>75</v>
      </c>
      <c r="Z222" s="48">
        <f>原始值!S222+VLOOKUP($H222,怪物强度修正!$A$2:$R$17,COLUMN(Z222)-9,FALSE)</f>
        <v>300</v>
      </c>
      <c r="AA222" s="48">
        <f>原始值!T222+VLOOKUP($H222,怪物强度修正!$A$2:$R$17,COLUMN(AA222)-9,FALSE)</f>
        <v>50</v>
      </c>
    </row>
    <row r="223" spans="1:27" s="48" customFormat="1">
      <c r="A223" s="48" t="str">
        <f t="shared" si="55"/>
        <v>PhyType.NewNpcType_444</v>
      </c>
      <c r="B223" s="48" t="s">
        <v>137</v>
      </c>
      <c r="C223" s="48">
        <v>444</v>
      </c>
      <c r="D223" s="48">
        <v>444</v>
      </c>
      <c r="E223" s="47"/>
      <c r="F223" s="47"/>
      <c r="G223" s="48" t="str">
        <f t="shared" si="52"/>
        <v>天狼蜘蛛散人精英</v>
      </c>
      <c r="H223" s="48" t="str">
        <f t="shared" si="53"/>
        <v>赤月峡谷</v>
      </c>
      <c r="I223" s="48">
        <f t="shared" si="54"/>
        <v>1499</v>
      </c>
      <c r="J223" s="47"/>
      <c r="K223" s="48">
        <f>原始值!D223+VLOOKUP($H223,怪物强度修正!$A$2:$R$17,COLUMN(K223)-9,FALSE)</f>
        <v>38</v>
      </c>
      <c r="L223" s="48">
        <f>原始值!E223+VLOOKUP($H223,怪物强度修正!$A$2:$R$17,COLUMN(L223)-9,FALSE)</f>
        <v>56</v>
      </c>
      <c r="M223" s="48">
        <f t="shared" si="56"/>
        <v>38</v>
      </c>
      <c r="N223" s="48">
        <f t="shared" si="57"/>
        <v>56</v>
      </c>
      <c r="O223" s="48">
        <f>原始值!H223+VLOOKUP($H223,怪物强度修正!$A$2:$R$17,COLUMN(O223)-9,FALSE)</f>
        <v>0</v>
      </c>
      <c r="P223" s="48">
        <f>原始值!I223+VLOOKUP($H223,怪物强度修正!$A$2:$R$17,COLUMN(P223)-9,FALSE)</f>
        <v>0</v>
      </c>
      <c r="Q223" s="48">
        <f>原始值!J223+VLOOKUP($H223,怪物强度修正!$A$2:$R$17,COLUMN(Q223)-9,FALSE)</f>
        <v>11</v>
      </c>
      <c r="R223" s="48">
        <f>原始值!K223+VLOOKUP($H223,怪物强度修正!$A$2:$R$17,COLUMN(R223)-9,FALSE)</f>
        <v>11</v>
      </c>
      <c r="S223" s="48">
        <f>原始值!L223+VLOOKUP($H223,怪物强度修正!$A$2:$R$17,COLUMN(S223)-9,FALSE)</f>
        <v>37</v>
      </c>
      <c r="T223" s="48">
        <f>原始值!M223+VLOOKUP($H223,怪物强度修正!$A$2:$R$17,COLUMN(T223)-9,FALSE)</f>
        <v>37</v>
      </c>
      <c r="U223" s="48">
        <f>原始值!N223+VLOOKUP($H223,怪物强度修正!$A$2:$R$17,COLUMN(U223)-9,FALSE)</f>
        <v>500</v>
      </c>
      <c r="V223" s="48">
        <v>4</v>
      </c>
      <c r="W223" s="48">
        <f>原始值!P223+VLOOKUP($H223,怪物强度修正!$A$2:$R$17,COLUMN(W223)-9,FALSE)</f>
        <v>15</v>
      </c>
      <c r="X223" s="48">
        <f>原始值!Q223+VLOOKUP($H223,怪物强度修正!$A$2:$R$17,COLUMN(X223)-9,FALSE)</f>
        <v>17</v>
      </c>
      <c r="Y223" s="48">
        <f>原始值!R223+VLOOKUP($H223,怪物强度修正!$A$2:$R$17,COLUMN(Y223)-9,FALSE)</f>
        <v>75</v>
      </c>
      <c r="Z223" s="48">
        <f>原始值!S223+VLOOKUP($H223,怪物强度修正!$A$2:$R$17,COLUMN(Z223)-9,FALSE)</f>
        <v>300</v>
      </c>
      <c r="AA223" s="48">
        <f>原始值!T223+VLOOKUP($H223,怪物强度修正!$A$2:$R$17,COLUMN(AA223)-9,FALSE)</f>
        <v>50</v>
      </c>
    </row>
    <row r="224" spans="1:27" s="48" customFormat="1">
      <c r="A224" s="48" t="str">
        <f t="shared" si="55"/>
        <v>PhyType.NewNpcType_445</v>
      </c>
      <c r="B224" s="48" t="s">
        <v>137</v>
      </c>
      <c r="C224" s="48">
        <v>445</v>
      </c>
      <c r="D224" s="48">
        <v>445</v>
      </c>
      <c r="E224" s="47"/>
      <c r="F224" s="47"/>
      <c r="G224" s="48" t="str">
        <f t="shared" si="52"/>
        <v>钢牙蜘蛛散人精英</v>
      </c>
      <c r="H224" s="48" t="str">
        <f t="shared" si="53"/>
        <v>赤月峡谷</v>
      </c>
      <c r="I224" s="48">
        <f t="shared" si="54"/>
        <v>2099</v>
      </c>
      <c r="J224" s="47"/>
      <c r="K224" s="48">
        <f>原始值!D224+VLOOKUP($H224,怪物强度修正!$A$2:$R$17,COLUMN(K224)-9,FALSE)</f>
        <v>58</v>
      </c>
      <c r="L224" s="48">
        <f>原始值!E224+VLOOKUP($H224,怪物强度修正!$A$2:$R$17,COLUMN(L224)-9,FALSE)</f>
        <v>80</v>
      </c>
      <c r="M224" s="48">
        <f t="shared" si="56"/>
        <v>58</v>
      </c>
      <c r="N224" s="48">
        <f t="shared" si="57"/>
        <v>80</v>
      </c>
      <c r="O224" s="48">
        <f>原始值!H224+VLOOKUP($H224,怪物强度修正!$A$2:$R$17,COLUMN(O224)-9,FALSE)</f>
        <v>0</v>
      </c>
      <c r="P224" s="48">
        <f>原始值!I224+VLOOKUP($H224,怪物强度修正!$A$2:$R$17,COLUMN(P224)-9,FALSE)</f>
        <v>0</v>
      </c>
      <c r="Q224" s="48">
        <f>原始值!J224+VLOOKUP($H224,怪物强度修正!$A$2:$R$17,COLUMN(Q224)-9,FALSE)</f>
        <v>18</v>
      </c>
      <c r="R224" s="48">
        <f>原始值!K224+VLOOKUP($H224,怪物强度修正!$A$2:$R$17,COLUMN(R224)-9,FALSE)</f>
        <v>18</v>
      </c>
      <c r="S224" s="48">
        <f>原始值!L224+VLOOKUP($H224,怪物强度修正!$A$2:$R$17,COLUMN(S224)-9,FALSE)</f>
        <v>57</v>
      </c>
      <c r="T224" s="48">
        <f>原始值!M224+VLOOKUP($H224,怪物强度修正!$A$2:$R$17,COLUMN(T224)-9,FALSE)</f>
        <v>57</v>
      </c>
      <c r="U224" s="48">
        <f>原始值!N224+VLOOKUP($H224,怪物强度修正!$A$2:$R$17,COLUMN(U224)-9,FALSE)</f>
        <v>800</v>
      </c>
      <c r="V224" s="48">
        <v>5</v>
      </c>
      <c r="W224" s="48">
        <f>原始值!P224+VLOOKUP($H224,怪物强度修正!$A$2:$R$17,COLUMN(W224)-9,FALSE)</f>
        <v>20</v>
      </c>
      <c r="X224" s="48">
        <f>原始值!Q224+VLOOKUP($H224,怪物强度修正!$A$2:$R$17,COLUMN(X224)-9,FALSE)</f>
        <v>17</v>
      </c>
      <c r="Y224" s="48">
        <f>原始值!R224+VLOOKUP($H224,怪物强度修正!$A$2:$R$17,COLUMN(Y224)-9,FALSE)</f>
        <v>75</v>
      </c>
      <c r="Z224" s="48">
        <f>原始值!S224+VLOOKUP($H224,怪物强度修正!$A$2:$R$17,COLUMN(Z224)-9,FALSE)</f>
        <v>300</v>
      </c>
      <c r="AA224" s="48">
        <f>原始值!T224+VLOOKUP($H224,怪物强度修正!$A$2:$R$17,COLUMN(AA224)-9,FALSE)</f>
        <v>50</v>
      </c>
    </row>
    <row r="225" spans="1:27" s="48" customFormat="1">
      <c r="A225" s="48" t="str">
        <f t="shared" si="55"/>
        <v>PhyType.NewNpcType_446</v>
      </c>
      <c r="B225" s="48" t="s">
        <v>137</v>
      </c>
      <c r="C225" s="48">
        <v>446</v>
      </c>
      <c r="D225" s="48">
        <v>446</v>
      </c>
      <c r="E225" s="47"/>
      <c r="F225" s="47"/>
      <c r="G225" s="48" t="str">
        <f t="shared" si="52"/>
        <v>花吻蜘蛛散人精英</v>
      </c>
      <c r="H225" s="48" t="str">
        <f t="shared" si="53"/>
        <v>赤月峡谷</v>
      </c>
      <c r="I225" s="48">
        <f t="shared" si="54"/>
        <v>2039</v>
      </c>
      <c r="J225" s="47"/>
      <c r="K225" s="48">
        <f>原始值!D225+VLOOKUP($H225,怪物强度修正!$A$2:$R$17,COLUMN(K225)-9,FALSE)</f>
        <v>35</v>
      </c>
      <c r="L225" s="48">
        <f>原始值!E225+VLOOKUP($H225,怪物强度修正!$A$2:$R$17,COLUMN(L225)-9,FALSE)</f>
        <v>95</v>
      </c>
      <c r="M225" s="48">
        <f t="shared" si="56"/>
        <v>35</v>
      </c>
      <c r="N225" s="48">
        <f t="shared" si="57"/>
        <v>95</v>
      </c>
      <c r="O225" s="48">
        <f>原始值!H225+VLOOKUP($H225,怪物强度修正!$A$2:$R$17,COLUMN(O225)-9,FALSE)</f>
        <v>0</v>
      </c>
      <c r="P225" s="48">
        <f>原始值!I225+VLOOKUP($H225,怪物强度修正!$A$2:$R$17,COLUMN(P225)-9,FALSE)</f>
        <v>0</v>
      </c>
      <c r="Q225" s="48">
        <f>原始值!J225+VLOOKUP($H225,怪物强度修正!$A$2:$R$17,COLUMN(Q225)-9,FALSE)</f>
        <v>17</v>
      </c>
      <c r="R225" s="48">
        <f>原始值!K225+VLOOKUP($H225,怪物强度修正!$A$2:$R$17,COLUMN(R225)-9,FALSE)</f>
        <v>17</v>
      </c>
      <c r="S225" s="48">
        <f>原始值!L225+VLOOKUP($H225,怪物强度修正!$A$2:$R$17,COLUMN(S225)-9,FALSE)</f>
        <v>48</v>
      </c>
      <c r="T225" s="48">
        <f>原始值!M225+VLOOKUP($H225,怪物强度修正!$A$2:$R$17,COLUMN(T225)-9,FALSE)</f>
        <v>48</v>
      </c>
      <c r="U225" s="48">
        <f>原始值!N225+VLOOKUP($H225,怪物强度修正!$A$2:$R$17,COLUMN(U225)-9,FALSE)</f>
        <v>750</v>
      </c>
      <c r="V225" s="48">
        <v>6</v>
      </c>
      <c r="W225" s="48">
        <f>原始值!P225+VLOOKUP($H225,怪物强度修正!$A$2:$R$17,COLUMN(W225)-9,FALSE)</f>
        <v>17</v>
      </c>
      <c r="X225" s="48">
        <f>原始值!Q225+VLOOKUP($H225,怪物强度修正!$A$2:$R$17,COLUMN(X225)-9,FALSE)</f>
        <v>25</v>
      </c>
      <c r="Y225" s="48">
        <f>原始值!R225+VLOOKUP($H225,怪物强度修正!$A$2:$R$17,COLUMN(Y225)-9,FALSE)</f>
        <v>75</v>
      </c>
      <c r="Z225" s="48">
        <f>原始值!S225+VLOOKUP($H225,怪物强度修正!$A$2:$R$17,COLUMN(Z225)-9,FALSE)</f>
        <v>300</v>
      </c>
      <c r="AA225" s="48">
        <f>原始值!T225+VLOOKUP($H225,怪物强度修正!$A$2:$R$17,COLUMN(AA225)-9,FALSE)</f>
        <v>50</v>
      </c>
    </row>
    <row r="226" spans="1:27" s="48" customFormat="1">
      <c r="A226" s="48" t="str">
        <f t="shared" si="55"/>
        <v>PhyType.NewNpcType_447</v>
      </c>
      <c r="B226" s="48" t="s">
        <v>137</v>
      </c>
      <c r="C226" s="48">
        <v>447</v>
      </c>
      <c r="D226" s="48">
        <v>447</v>
      </c>
      <c r="E226" s="47"/>
      <c r="F226" s="47"/>
      <c r="G226" s="48" t="str">
        <f t="shared" si="52"/>
        <v>黑锷蜘蛛散人精英</v>
      </c>
      <c r="H226" s="48" t="str">
        <f t="shared" si="53"/>
        <v>赤月峡谷</v>
      </c>
      <c r="I226" s="48">
        <f t="shared" si="54"/>
        <v>2699</v>
      </c>
      <c r="J226" s="47"/>
      <c r="K226" s="48">
        <f>原始值!D226+VLOOKUP($H226,怪物强度修正!$A$2:$R$17,COLUMN(K226)-9,FALSE)</f>
        <v>28</v>
      </c>
      <c r="L226" s="48">
        <f>原始值!E226+VLOOKUP($H226,怪物强度修正!$A$2:$R$17,COLUMN(L226)-9,FALSE)</f>
        <v>118</v>
      </c>
      <c r="M226" s="48">
        <f t="shared" si="56"/>
        <v>28</v>
      </c>
      <c r="N226" s="48">
        <f t="shared" si="57"/>
        <v>118</v>
      </c>
      <c r="O226" s="48">
        <f>原始值!H226+VLOOKUP($H226,怪物强度修正!$A$2:$R$17,COLUMN(O226)-9,FALSE)</f>
        <v>0</v>
      </c>
      <c r="P226" s="48">
        <f>原始值!I226+VLOOKUP($H226,怪物强度修正!$A$2:$R$17,COLUMN(P226)-9,FALSE)</f>
        <v>0</v>
      </c>
      <c r="Q226" s="48">
        <f>原始值!J226+VLOOKUP($H226,怪物强度修正!$A$2:$R$17,COLUMN(Q226)-9,FALSE)</f>
        <v>15</v>
      </c>
      <c r="R226" s="48">
        <f>原始值!K226+VLOOKUP($H226,怪物强度修正!$A$2:$R$17,COLUMN(R226)-9,FALSE)</f>
        <v>15</v>
      </c>
      <c r="S226" s="48">
        <f>原始值!L226+VLOOKUP($H226,怪物强度修正!$A$2:$R$17,COLUMN(S226)-9,FALSE)</f>
        <v>52</v>
      </c>
      <c r="T226" s="48">
        <f>原始值!M226+VLOOKUP($H226,怪物强度修正!$A$2:$R$17,COLUMN(T226)-9,FALSE)</f>
        <v>52</v>
      </c>
      <c r="U226" s="48">
        <f>原始值!N226+VLOOKUP($H226,怪物强度修正!$A$2:$R$17,COLUMN(U226)-9,FALSE)</f>
        <v>1200</v>
      </c>
      <c r="V226" s="48">
        <v>7</v>
      </c>
      <c r="W226" s="48">
        <f>原始值!P226+VLOOKUP($H226,怪物强度修正!$A$2:$R$17,COLUMN(W226)-9,FALSE)</f>
        <v>17</v>
      </c>
      <c r="X226" s="48">
        <f>原始值!Q226+VLOOKUP($H226,怪物强度修正!$A$2:$R$17,COLUMN(X226)-9,FALSE)</f>
        <v>17</v>
      </c>
      <c r="Y226" s="48">
        <f>原始值!R226+VLOOKUP($H226,怪物强度修正!$A$2:$R$17,COLUMN(Y226)-9,FALSE)</f>
        <v>75</v>
      </c>
      <c r="Z226" s="48">
        <f>原始值!S226+VLOOKUP($H226,怪物强度修正!$A$2:$R$17,COLUMN(Z226)-9,FALSE)</f>
        <v>300</v>
      </c>
      <c r="AA226" s="48">
        <f>原始值!T226+VLOOKUP($H226,怪物强度修正!$A$2:$R$17,COLUMN(AA226)-9,FALSE)</f>
        <v>50</v>
      </c>
    </row>
    <row r="227" spans="1:27" s="48" customFormat="1">
      <c r="A227" s="48" t="str">
        <f t="shared" si="55"/>
        <v>PhyType.NewNpcType_448</v>
      </c>
      <c r="B227" s="48" t="s">
        <v>137</v>
      </c>
      <c r="C227" s="48">
        <v>448</v>
      </c>
      <c r="D227" s="48">
        <v>448</v>
      </c>
      <c r="E227" s="47"/>
      <c r="F227" s="47"/>
      <c r="G227" s="48" t="str">
        <f t="shared" si="52"/>
        <v>幻影蜘蛛散人精英</v>
      </c>
      <c r="H227" s="48" t="str">
        <f t="shared" si="53"/>
        <v>赤月峡谷</v>
      </c>
      <c r="I227" s="48">
        <f t="shared" si="54"/>
        <v>2699</v>
      </c>
      <c r="J227" s="47"/>
      <c r="K227" s="48">
        <f>原始值!D227+VLOOKUP($H227,怪物强度修正!$A$2:$R$17,COLUMN(K227)-9,FALSE)</f>
        <v>5</v>
      </c>
      <c r="L227" s="48">
        <f>原始值!E227+VLOOKUP($H227,怪物强度修正!$A$2:$R$17,COLUMN(L227)-9,FALSE)</f>
        <v>5</v>
      </c>
      <c r="M227" s="48">
        <f t="shared" si="56"/>
        <v>5</v>
      </c>
      <c r="N227" s="48">
        <f t="shared" si="57"/>
        <v>5</v>
      </c>
      <c r="O227" s="48">
        <f>原始值!H227+VLOOKUP($H227,怪物强度修正!$A$2:$R$17,COLUMN(O227)-9,FALSE)</f>
        <v>0</v>
      </c>
      <c r="P227" s="48">
        <f>原始值!I227+VLOOKUP($H227,怪物强度修正!$A$2:$R$17,COLUMN(P227)-9,FALSE)</f>
        <v>0</v>
      </c>
      <c r="Q227" s="48">
        <f>原始值!J227+VLOOKUP($H227,怪物强度修正!$A$2:$R$17,COLUMN(Q227)-9,FALSE)</f>
        <v>14</v>
      </c>
      <c r="R227" s="48">
        <f>原始值!K227+VLOOKUP($H227,怪物强度修正!$A$2:$R$17,COLUMN(R227)-9,FALSE)</f>
        <v>14</v>
      </c>
      <c r="S227" s="48">
        <f>原始值!L227+VLOOKUP($H227,怪物强度修正!$A$2:$R$17,COLUMN(S227)-9,FALSE)</f>
        <v>42</v>
      </c>
      <c r="T227" s="48">
        <f>原始值!M227+VLOOKUP($H227,怪物强度修正!$A$2:$R$17,COLUMN(T227)-9,FALSE)</f>
        <v>42</v>
      </c>
      <c r="U227" s="48">
        <f>原始值!N227+VLOOKUP($H227,怪物强度修正!$A$2:$R$17,COLUMN(U227)-9,FALSE)</f>
        <v>1200</v>
      </c>
      <c r="V227" s="48">
        <v>8</v>
      </c>
      <c r="W227" s="48">
        <f>原始值!P227+VLOOKUP($H227,怪物强度修正!$A$2:$R$17,COLUMN(W227)-9,FALSE)</f>
        <v>1</v>
      </c>
      <c r="X227" s="48">
        <f>原始值!Q227+VLOOKUP($H227,怪物强度修正!$A$2:$R$17,COLUMN(X227)-9,FALSE)</f>
        <v>1</v>
      </c>
      <c r="Y227" s="48">
        <f>原始值!R227+VLOOKUP($H227,怪物强度修正!$A$2:$R$17,COLUMN(Y227)-9,FALSE)</f>
        <v>75</v>
      </c>
      <c r="Z227" s="48">
        <f>原始值!S227+VLOOKUP($H227,怪物强度修正!$A$2:$R$17,COLUMN(Z227)-9,FALSE)</f>
        <v>300</v>
      </c>
      <c r="AA227" s="48">
        <f>原始值!T227+VLOOKUP($H227,怪物强度修正!$A$2:$R$17,COLUMN(AA227)-9,FALSE)</f>
        <v>50</v>
      </c>
    </row>
    <row r="228" spans="1:27" s="48" customFormat="1">
      <c r="A228" s="48" t="str">
        <f t="shared" si="55"/>
        <v>PhyType.NewNpcType_449</v>
      </c>
      <c r="B228" s="48" t="s">
        <v>137</v>
      </c>
      <c r="C228" s="48">
        <v>449</v>
      </c>
      <c r="D228" s="48">
        <v>449</v>
      </c>
      <c r="E228" s="47"/>
      <c r="F228" s="47"/>
      <c r="G228" s="48" t="str">
        <f t="shared" si="52"/>
        <v>爆裂蜘蛛散人精英</v>
      </c>
      <c r="H228" s="48" t="str">
        <f t="shared" si="53"/>
        <v>赤月峡谷</v>
      </c>
      <c r="I228" s="48">
        <f t="shared" si="54"/>
        <v>20</v>
      </c>
      <c r="J228" s="47"/>
      <c r="K228" s="48">
        <f>原始值!D228+VLOOKUP($H228,怪物强度修正!$A$2:$R$17,COLUMN(K228)-9,FALSE)</f>
        <v>35</v>
      </c>
      <c r="L228" s="48">
        <f>原始值!E228+VLOOKUP($H228,怪物强度修正!$A$2:$R$17,COLUMN(L228)-9,FALSE)</f>
        <v>35</v>
      </c>
      <c r="M228" s="48">
        <f t="shared" si="56"/>
        <v>35</v>
      </c>
      <c r="N228" s="48">
        <f t="shared" si="57"/>
        <v>35</v>
      </c>
      <c r="O228" s="48">
        <f>原始值!H228+VLOOKUP($H228,怪物强度修正!$A$2:$R$17,COLUMN(O228)-9,FALSE)</f>
        <v>0</v>
      </c>
      <c r="P228" s="48">
        <f>原始值!I228+VLOOKUP($H228,怪物强度修正!$A$2:$R$17,COLUMN(P228)-9,FALSE)</f>
        <v>0</v>
      </c>
      <c r="Q228" s="48">
        <f>原始值!J228+VLOOKUP($H228,怪物强度修正!$A$2:$R$17,COLUMN(Q228)-9,FALSE)</f>
        <v>1</v>
      </c>
      <c r="R228" s="48">
        <f>原始值!K228+VLOOKUP($H228,怪物强度修正!$A$2:$R$17,COLUMN(R228)-9,FALSE)</f>
        <v>1</v>
      </c>
      <c r="S228" s="48">
        <f>原始值!L228+VLOOKUP($H228,怪物强度修正!$A$2:$R$17,COLUMN(S228)-9,FALSE)</f>
        <v>7</v>
      </c>
      <c r="T228" s="48">
        <f>原始值!M228+VLOOKUP($H228,怪物强度修正!$A$2:$R$17,COLUMN(T228)-9,FALSE)</f>
        <v>7</v>
      </c>
      <c r="U228" s="48">
        <f>原始值!N228+VLOOKUP($H228,怪物强度修正!$A$2:$R$17,COLUMN(U228)-9,FALSE)</f>
        <v>10</v>
      </c>
      <c r="V228" s="48">
        <v>9</v>
      </c>
      <c r="W228" s="48">
        <f>原始值!P228+VLOOKUP($H228,怪物强度修正!$A$2:$R$17,COLUMN(W228)-9,FALSE)</f>
        <v>30</v>
      </c>
      <c r="X228" s="48">
        <f>原始值!Q228+VLOOKUP($H228,怪物强度修正!$A$2:$R$17,COLUMN(X228)-9,FALSE)</f>
        <v>30</v>
      </c>
      <c r="Y228" s="48">
        <f>原始值!R228+VLOOKUP($H228,怪物强度修正!$A$2:$R$17,COLUMN(Y228)-9,FALSE)</f>
        <v>75</v>
      </c>
      <c r="Z228" s="48">
        <f>原始值!S228+VLOOKUP($H228,怪物强度修正!$A$2:$R$17,COLUMN(Z228)-9,FALSE)</f>
        <v>300</v>
      </c>
      <c r="AA228" s="48">
        <f>原始值!T228+VLOOKUP($H228,怪物强度修正!$A$2:$R$17,COLUMN(AA228)-9,FALSE)</f>
        <v>50</v>
      </c>
    </row>
    <row r="229" spans="1:27" s="48" customFormat="1">
      <c r="A229" s="48" t="str">
        <f t="shared" si="55"/>
        <v>PhyType.NewNpcType_450</v>
      </c>
      <c r="B229" s="48" t="s">
        <v>137</v>
      </c>
      <c r="C229" s="48">
        <v>450</v>
      </c>
      <c r="D229" s="48">
        <v>450</v>
      </c>
      <c r="E229" s="47"/>
      <c r="F229" s="47"/>
      <c r="G229" s="48" t="str">
        <f t="shared" si="52"/>
        <v>血巨人散人精英</v>
      </c>
      <c r="H229" s="48" t="str">
        <f t="shared" si="53"/>
        <v>赤月峡谷</v>
      </c>
      <c r="I229" s="48">
        <f t="shared" si="54"/>
        <v>2999</v>
      </c>
      <c r="J229" s="47"/>
      <c r="K229" s="48">
        <f>原始值!D229+VLOOKUP($H229,怪物强度修正!$A$2:$R$17,COLUMN(K229)-9,FALSE)</f>
        <v>58</v>
      </c>
      <c r="L229" s="48">
        <f>原始值!E229+VLOOKUP($H229,怪物强度修正!$A$2:$R$17,COLUMN(L229)-9,FALSE)</f>
        <v>110</v>
      </c>
      <c r="M229" s="48">
        <f t="shared" si="56"/>
        <v>58</v>
      </c>
      <c r="N229" s="48">
        <f t="shared" si="57"/>
        <v>110</v>
      </c>
      <c r="O229" s="48">
        <f>原始值!H229+VLOOKUP($H229,怪物强度修正!$A$2:$R$17,COLUMN(O229)-9,FALSE)</f>
        <v>0</v>
      </c>
      <c r="P229" s="48">
        <f>原始值!I229+VLOOKUP($H229,怪物强度修正!$A$2:$R$17,COLUMN(P229)-9,FALSE)</f>
        <v>0</v>
      </c>
      <c r="Q229" s="48">
        <f>原始值!J229+VLOOKUP($H229,怪物强度修正!$A$2:$R$17,COLUMN(Q229)-9,FALSE)</f>
        <v>21</v>
      </c>
      <c r="R229" s="48">
        <f>原始值!K229+VLOOKUP($H229,怪物强度修正!$A$2:$R$17,COLUMN(R229)-9,FALSE)</f>
        <v>21</v>
      </c>
      <c r="S229" s="48">
        <f>原始值!L229+VLOOKUP($H229,怪物强度修正!$A$2:$R$17,COLUMN(S229)-9,FALSE)</f>
        <v>52</v>
      </c>
      <c r="T229" s="48">
        <f>原始值!M229+VLOOKUP($H229,怪物强度修正!$A$2:$R$17,COLUMN(T229)-9,FALSE)</f>
        <v>52</v>
      </c>
      <c r="U229" s="48">
        <f>原始值!N229+VLOOKUP($H229,怪物强度修正!$A$2:$R$17,COLUMN(U229)-9,FALSE)</f>
        <v>1200</v>
      </c>
      <c r="V229" s="48">
        <v>10</v>
      </c>
      <c r="W229" s="48">
        <f>原始值!P229+VLOOKUP($H229,怪物强度修正!$A$2:$R$17,COLUMN(W229)-9,FALSE)</f>
        <v>17</v>
      </c>
      <c r="X229" s="48">
        <f>原始值!Q229+VLOOKUP($H229,怪物强度修正!$A$2:$R$17,COLUMN(X229)-9,FALSE)</f>
        <v>20</v>
      </c>
      <c r="Y229" s="48">
        <f>原始值!R229+VLOOKUP($H229,怪物强度修正!$A$2:$R$17,COLUMN(Y229)-9,FALSE)</f>
        <v>75</v>
      </c>
      <c r="Z229" s="48">
        <f>原始值!S229+VLOOKUP($H229,怪物强度修正!$A$2:$R$17,COLUMN(Z229)-9,FALSE)</f>
        <v>300</v>
      </c>
      <c r="AA229" s="48">
        <f>原始值!T229+VLOOKUP($H229,怪物强度修正!$A$2:$R$17,COLUMN(AA229)-9,FALSE)</f>
        <v>50</v>
      </c>
    </row>
    <row r="230" spans="1:27" s="48" customFormat="1">
      <c r="A230" s="48" t="str">
        <f t="shared" si="55"/>
        <v>PhyType.NewNpcType_451</v>
      </c>
      <c r="B230" s="48" t="s">
        <v>137</v>
      </c>
      <c r="C230" s="48">
        <v>451</v>
      </c>
      <c r="D230" s="48">
        <v>451</v>
      </c>
      <c r="E230" s="47"/>
      <c r="F230" s="47"/>
      <c r="G230" s="48" t="str">
        <f t="shared" si="52"/>
        <v>血僵尸散人精英</v>
      </c>
      <c r="H230" s="48" t="str">
        <f t="shared" si="53"/>
        <v>赤月峡谷</v>
      </c>
      <c r="I230" s="48">
        <f t="shared" si="54"/>
        <v>2399</v>
      </c>
      <c r="J230" s="47"/>
      <c r="K230" s="48">
        <f>原始值!D230+VLOOKUP($H230,怪物强度修正!$A$2:$R$17,COLUMN(K230)-9,FALSE)</f>
        <v>58</v>
      </c>
      <c r="L230" s="48">
        <f>原始值!E230+VLOOKUP($H230,怪物强度修正!$A$2:$R$17,COLUMN(L230)-9,FALSE)</f>
        <v>80</v>
      </c>
      <c r="M230" s="48">
        <f t="shared" si="56"/>
        <v>58</v>
      </c>
      <c r="N230" s="48">
        <f t="shared" si="57"/>
        <v>80</v>
      </c>
      <c r="O230" s="48">
        <f>原始值!H230+VLOOKUP($H230,怪物强度修正!$A$2:$R$17,COLUMN(O230)-9,FALSE)</f>
        <v>0</v>
      </c>
      <c r="P230" s="48">
        <f>原始值!I230+VLOOKUP($H230,怪物强度修正!$A$2:$R$17,COLUMN(P230)-9,FALSE)</f>
        <v>0</v>
      </c>
      <c r="Q230" s="48">
        <f>原始值!J230+VLOOKUP($H230,怪物强度修正!$A$2:$R$17,COLUMN(Q230)-9,FALSE)</f>
        <v>24</v>
      </c>
      <c r="R230" s="48">
        <f>原始值!K230+VLOOKUP($H230,怪物强度修正!$A$2:$R$17,COLUMN(R230)-9,FALSE)</f>
        <v>24</v>
      </c>
      <c r="S230" s="48">
        <f>原始值!L230+VLOOKUP($H230,怪物强度修正!$A$2:$R$17,COLUMN(S230)-9,FALSE)</f>
        <v>52</v>
      </c>
      <c r="T230" s="48">
        <f>原始值!M230+VLOOKUP($H230,怪物强度修正!$A$2:$R$17,COLUMN(T230)-9,FALSE)</f>
        <v>52</v>
      </c>
      <c r="U230" s="48">
        <f>原始值!N230+VLOOKUP($H230,怪物强度修正!$A$2:$R$17,COLUMN(U230)-9,FALSE)</f>
        <v>1200</v>
      </c>
      <c r="V230" s="48">
        <v>11</v>
      </c>
      <c r="W230" s="48">
        <f>原始值!P230+VLOOKUP($H230,怪物强度修正!$A$2:$R$17,COLUMN(W230)-9,FALSE)</f>
        <v>25</v>
      </c>
      <c r="X230" s="48">
        <f>原始值!Q230+VLOOKUP($H230,怪物强度修正!$A$2:$R$17,COLUMN(X230)-9,FALSE)</f>
        <v>10</v>
      </c>
      <c r="Y230" s="48">
        <f>原始值!R230+VLOOKUP($H230,怪物强度修正!$A$2:$R$17,COLUMN(Y230)-9,FALSE)</f>
        <v>75</v>
      </c>
      <c r="Z230" s="48">
        <f>原始值!S230+VLOOKUP($H230,怪物强度修正!$A$2:$R$17,COLUMN(Z230)-9,FALSE)</f>
        <v>300</v>
      </c>
      <c r="AA230" s="48">
        <f>原始值!T230+VLOOKUP($H230,怪物强度修正!$A$2:$R$17,COLUMN(AA230)-9,FALSE)</f>
        <v>50</v>
      </c>
    </row>
    <row r="231" spans="1:27" s="48" customFormat="1">
      <c r="A231" s="48" t="str">
        <f t="shared" ref="A231" si="58">"PhyType.NewNpcType_"&amp;D231</f>
        <v>PhyType.NewNpcType_452</v>
      </c>
      <c r="B231" s="48" t="s">
        <v>137</v>
      </c>
      <c r="C231" s="48">
        <v>452</v>
      </c>
      <c r="D231" s="48">
        <v>452</v>
      </c>
      <c r="E231" s="47"/>
      <c r="F231" s="47"/>
      <c r="G231" s="48" t="str">
        <f t="shared" si="52"/>
        <v>暴牙蜘蛛散人精英</v>
      </c>
      <c r="H231" s="48" t="str">
        <f t="shared" si="53"/>
        <v>赤月峡谷</v>
      </c>
      <c r="I231" s="48">
        <f t="shared" si="54"/>
        <v>1199</v>
      </c>
      <c r="J231" s="47"/>
      <c r="K231" s="48">
        <f>原始值!D231+VLOOKUP($H231,怪物强度修正!$A$2:$R$17,COLUMN(K231)-9,FALSE)</f>
        <v>38</v>
      </c>
      <c r="L231" s="48">
        <f>原始值!E231+VLOOKUP($H231,怪物强度修正!$A$2:$R$17,COLUMN(L231)-9,FALSE)</f>
        <v>56</v>
      </c>
      <c r="M231" s="48">
        <f t="shared" ref="M231" si="59">K231</f>
        <v>38</v>
      </c>
      <c r="N231" s="48">
        <f t="shared" ref="N231" si="60">L231</f>
        <v>56</v>
      </c>
      <c r="O231" s="48">
        <f>原始值!H231+VLOOKUP($H231,怪物强度修正!$A$2:$R$17,COLUMN(O231)-9,FALSE)</f>
        <v>0</v>
      </c>
      <c r="P231" s="48">
        <f>原始值!I231+VLOOKUP($H231,怪物强度修正!$A$2:$R$17,COLUMN(P231)-9,FALSE)</f>
        <v>0</v>
      </c>
      <c r="Q231" s="48">
        <f>原始值!J231+VLOOKUP($H231,怪物强度修正!$A$2:$R$17,COLUMN(Q231)-9,FALSE)</f>
        <v>17</v>
      </c>
      <c r="R231" s="48">
        <f>原始值!K231+VLOOKUP($H231,怪物强度修正!$A$2:$R$17,COLUMN(R231)-9,FALSE)</f>
        <v>17</v>
      </c>
      <c r="S231" s="48">
        <f>原始值!L231+VLOOKUP($H231,怪物强度修正!$A$2:$R$17,COLUMN(S231)-9,FALSE)</f>
        <v>52</v>
      </c>
      <c r="T231" s="48">
        <f>原始值!M231+VLOOKUP($H231,怪物强度修正!$A$2:$R$17,COLUMN(T231)-9,FALSE)</f>
        <v>52</v>
      </c>
      <c r="U231" s="48">
        <f>原始值!N231+VLOOKUP($H231,怪物强度修正!$A$2:$R$17,COLUMN(U231)-9,FALSE)</f>
        <v>500</v>
      </c>
      <c r="V231" s="48">
        <v>12</v>
      </c>
      <c r="W231" s="48">
        <f>原始值!P231+VLOOKUP($H231,怪物强度修正!$A$2:$R$17,COLUMN(W231)-9,FALSE)</f>
        <v>17</v>
      </c>
      <c r="X231" s="48">
        <f>原始值!Q231+VLOOKUP($H231,怪物强度修正!$A$2:$R$17,COLUMN(X231)-9,FALSE)</f>
        <v>17</v>
      </c>
      <c r="Y231" s="48">
        <f>原始值!R231+VLOOKUP($H231,怪物强度修正!$A$2:$R$17,COLUMN(Y231)-9,FALSE)</f>
        <v>75</v>
      </c>
      <c r="Z231" s="48">
        <f>原始值!S231+VLOOKUP($H231,怪物强度修正!$A$2:$R$17,COLUMN(Z231)-9,FALSE)</f>
        <v>300</v>
      </c>
      <c r="AA231" s="48">
        <f>原始值!T231+VLOOKUP($H231,怪物强度修正!$A$2:$R$17,COLUMN(AA231)-9,FALSE)</f>
        <v>50</v>
      </c>
    </row>
    <row r="232" spans="1:27" s="2" customFormat="1">
      <c r="A232" s="2" t="str">
        <f t="shared" si="34"/>
        <v>PhyType.NewNpcType_501</v>
      </c>
      <c r="B232" s="2" t="s">
        <v>137</v>
      </c>
      <c r="C232" s="2">
        <v>501</v>
      </c>
      <c r="D232" s="2">
        <v>501</v>
      </c>
      <c r="G232" s="2" t="str">
        <f t="shared" ref="G232:G263" si="61">G8&amp;"精英"</f>
        <v>稻草人精英</v>
      </c>
      <c r="H232" s="2" t="str">
        <f t="shared" ref="H232:H263" si="62">H8</f>
        <v>边界村</v>
      </c>
      <c r="I232" s="2">
        <f t="shared" ref="I232:I263" si="63">INT((I8+1)*3-1)</f>
        <v>29</v>
      </c>
      <c r="K232" s="2">
        <f>原始值!D232+VLOOKUP($H232,怪物强度修正!$A$2:$R$17,COLUMN(K232)-9,FALSE)</f>
        <v>2</v>
      </c>
      <c r="L232" s="2">
        <f>原始值!E232+VLOOKUP($H232,怪物强度修正!$A$2:$R$17,COLUMN(L232)-9,FALSE)</f>
        <v>3</v>
      </c>
      <c r="M232" s="2">
        <f t="shared" si="38"/>
        <v>2</v>
      </c>
      <c r="N232" s="2">
        <f t="shared" si="39"/>
        <v>3</v>
      </c>
      <c r="O232" s="2">
        <f>原始值!H232+VLOOKUP($H232,怪物强度修正!$A$2:$R$17,COLUMN(O232)-9,FALSE)</f>
        <v>0</v>
      </c>
      <c r="P232" s="2">
        <f>原始值!I232+VLOOKUP($H232,怪物强度修正!$A$2:$R$17,COLUMN(P232)-9,FALSE)</f>
        <v>0</v>
      </c>
      <c r="Q232" s="2">
        <f>原始值!J232+VLOOKUP($H232,怪物强度修正!$A$2:$R$17,COLUMN(Q232)-9,FALSE)</f>
        <v>0</v>
      </c>
      <c r="R232" s="2">
        <f>原始值!K232+VLOOKUP($H232,怪物强度修正!$A$2:$R$17,COLUMN(R232)-9,FALSE)</f>
        <v>0</v>
      </c>
      <c r="S232" s="2">
        <f>原始值!L232+VLOOKUP($H232,怪物强度修正!$A$2:$R$17,COLUMN(S232)-9,FALSE)</f>
        <v>5</v>
      </c>
      <c r="T232" s="2">
        <f>原始值!M232+VLOOKUP($H232,怪物强度修正!$A$2:$R$17,COLUMN(T232)-9,FALSE)</f>
        <v>5</v>
      </c>
      <c r="U232" s="2">
        <f>原始值!N232+VLOOKUP($H232,怪物强度修正!$A$2:$R$17,COLUMN(U232)-9,FALSE)</f>
        <v>45</v>
      </c>
      <c r="V232" s="2">
        <v>1</v>
      </c>
      <c r="W232" s="2">
        <f>原始值!P232+VLOOKUP($H232,怪物强度修正!$A$2:$R$17,COLUMN(W232)-9,FALSE)</f>
        <v>5</v>
      </c>
      <c r="X232" s="2">
        <f>原始值!Q232+VLOOKUP($H232,怪物强度修正!$A$2:$R$17,COLUMN(X232)-9,FALSE)</f>
        <v>7</v>
      </c>
      <c r="Y232" s="2">
        <f>原始值!R232+VLOOKUP($H232,怪物强度修正!$A$2:$R$17,COLUMN(Y232)-9,FALSE)</f>
        <v>75</v>
      </c>
      <c r="Z232" s="2">
        <f>原始值!S232+VLOOKUP($H232,怪物强度修正!$A$2:$R$17,COLUMN(Z232)-9,FALSE)</f>
        <v>300</v>
      </c>
      <c r="AA232" s="2">
        <f>原始值!T232+VLOOKUP($H232,怪物强度修正!$A$2:$R$17,COLUMN(AA232)-9,FALSE)</f>
        <v>50</v>
      </c>
    </row>
    <row r="233" spans="1:27" s="2" customFormat="1">
      <c r="A233" s="2" t="str">
        <f t="shared" si="34"/>
        <v>PhyType.NewNpcType_502</v>
      </c>
      <c r="B233" s="2" t="s">
        <v>137</v>
      </c>
      <c r="C233" s="2">
        <v>502</v>
      </c>
      <c r="D233" s="2">
        <v>502</v>
      </c>
      <c r="G233" s="2" t="str">
        <f t="shared" si="61"/>
        <v>钉耙猫精英</v>
      </c>
      <c r="H233" s="2" t="str">
        <f t="shared" si="62"/>
        <v>边界村</v>
      </c>
      <c r="I233" s="2">
        <f t="shared" si="63"/>
        <v>53</v>
      </c>
      <c r="K233" s="2">
        <f>原始值!D233+VLOOKUP($H233,怪物强度修正!$A$2:$R$17,COLUMN(K233)-9,FALSE)</f>
        <v>3</v>
      </c>
      <c r="L233" s="2">
        <f>原始值!E233+VLOOKUP($H233,怪物强度修正!$A$2:$R$17,COLUMN(L233)-9,FALSE)</f>
        <v>6</v>
      </c>
      <c r="M233" s="2">
        <f t="shared" si="38"/>
        <v>3</v>
      </c>
      <c r="N233" s="2">
        <f t="shared" si="39"/>
        <v>6</v>
      </c>
      <c r="O233" s="2">
        <f>原始值!H233+VLOOKUP($H233,怪物强度修正!$A$2:$R$17,COLUMN(O233)-9,FALSE)</f>
        <v>0</v>
      </c>
      <c r="P233" s="2">
        <f>原始值!I233+VLOOKUP($H233,怪物强度修正!$A$2:$R$17,COLUMN(P233)-9,FALSE)</f>
        <v>0</v>
      </c>
      <c r="Q233" s="2">
        <f>原始值!J233+VLOOKUP($H233,怪物强度修正!$A$2:$R$17,COLUMN(Q233)-9,FALSE)</f>
        <v>0</v>
      </c>
      <c r="R233" s="2">
        <f>原始值!K233+VLOOKUP($H233,怪物强度修正!$A$2:$R$17,COLUMN(R233)-9,FALSE)</f>
        <v>0</v>
      </c>
      <c r="S233" s="2">
        <f>原始值!L233+VLOOKUP($H233,怪物强度修正!$A$2:$R$17,COLUMN(S233)-9,FALSE)</f>
        <v>5</v>
      </c>
      <c r="T233" s="2">
        <f>原始值!M233+VLOOKUP($H233,怪物强度修正!$A$2:$R$17,COLUMN(T233)-9,FALSE)</f>
        <v>5</v>
      </c>
      <c r="U233" s="2">
        <f>原始值!N233+VLOOKUP($H233,怪物强度修正!$A$2:$R$17,COLUMN(U233)-9,FALSE)</f>
        <v>69</v>
      </c>
      <c r="V233" s="2">
        <v>1</v>
      </c>
      <c r="W233" s="2">
        <f>原始值!P233+VLOOKUP($H233,怪物强度修正!$A$2:$R$17,COLUMN(W233)-9,FALSE)</f>
        <v>5</v>
      </c>
      <c r="X233" s="2">
        <f>原始值!Q233+VLOOKUP($H233,怪物强度修正!$A$2:$R$17,COLUMN(X233)-9,FALSE)</f>
        <v>7</v>
      </c>
      <c r="Y233" s="2">
        <f>原始值!R233+VLOOKUP($H233,怪物强度修正!$A$2:$R$17,COLUMN(Y233)-9,FALSE)</f>
        <v>75</v>
      </c>
      <c r="Z233" s="2">
        <f>原始值!S233+VLOOKUP($H233,怪物强度修正!$A$2:$R$17,COLUMN(Z233)-9,FALSE)</f>
        <v>300</v>
      </c>
      <c r="AA233" s="2">
        <f>原始值!T233+VLOOKUP($H233,怪物强度修正!$A$2:$R$17,COLUMN(AA233)-9,FALSE)</f>
        <v>50</v>
      </c>
    </row>
    <row r="234" spans="1:27" s="2" customFormat="1">
      <c r="A234" s="2" t="str">
        <f t="shared" si="34"/>
        <v>PhyType.NewNpcType_503</v>
      </c>
      <c r="B234" s="2" t="s">
        <v>137</v>
      </c>
      <c r="C234" s="2">
        <v>503</v>
      </c>
      <c r="D234" s="2">
        <v>503</v>
      </c>
      <c r="G234" s="2" t="str">
        <f t="shared" si="61"/>
        <v>半兽人精英</v>
      </c>
      <c r="H234" s="2" t="str">
        <f t="shared" si="62"/>
        <v>边界村</v>
      </c>
      <c r="I234" s="2">
        <f t="shared" si="63"/>
        <v>74</v>
      </c>
      <c r="K234" s="2">
        <f>原始值!D234+VLOOKUP($H234,怪物强度修正!$A$2:$R$17,COLUMN(K234)-9,FALSE)</f>
        <v>5</v>
      </c>
      <c r="L234" s="2">
        <f>原始值!E234+VLOOKUP($H234,怪物强度修正!$A$2:$R$17,COLUMN(L234)-9,FALSE)</f>
        <v>11</v>
      </c>
      <c r="M234" s="2">
        <f t="shared" si="38"/>
        <v>5</v>
      </c>
      <c r="N234" s="2">
        <f t="shared" si="39"/>
        <v>11</v>
      </c>
      <c r="O234" s="2">
        <f>原始值!H234+VLOOKUP($H234,怪物强度修正!$A$2:$R$17,COLUMN(O234)-9,FALSE)</f>
        <v>0</v>
      </c>
      <c r="P234" s="2">
        <f>原始值!I234+VLOOKUP($H234,怪物强度修正!$A$2:$R$17,COLUMN(P234)-9,FALSE)</f>
        <v>0</v>
      </c>
      <c r="Q234" s="2">
        <f>原始值!J234+VLOOKUP($H234,怪物强度修正!$A$2:$R$17,COLUMN(Q234)-9,FALSE)</f>
        <v>1</v>
      </c>
      <c r="R234" s="2">
        <f>原始值!K234+VLOOKUP($H234,怪物强度修正!$A$2:$R$17,COLUMN(R234)-9,FALSE)</f>
        <v>1</v>
      </c>
      <c r="S234" s="2">
        <f>原始值!L234+VLOOKUP($H234,怪物强度修正!$A$2:$R$17,COLUMN(S234)-9,FALSE)</f>
        <v>5</v>
      </c>
      <c r="T234" s="2">
        <f>原始值!M234+VLOOKUP($H234,怪物强度修正!$A$2:$R$17,COLUMN(T234)-9,FALSE)</f>
        <v>5</v>
      </c>
      <c r="U234" s="2">
        <f>原始值!N234+VLOOKUP($H234,怪物强度修正!$A$2:$R$17,COLUMN(U234)-9,FALSE)</f>
        <v>90</v>
      </c>
      <c r="V234" s="2">
        <v>1</v>
      </c>
      <c r="W234" s="2">
        <f>原始值!P234+VLOOKUP($H234,怪物强度修正!$A$2:$R$17,COLUMN(W234)-9,FALSE)</f>
        <v>6</v>
      </c>
      <c r="X234" s="2">
        <f>原始值!Q234+VLOOKUP($H234,怪物强度修正!$A$2:$R$17,COLUMN(X234)-9,FALSE)</f>
        <v>8</v>
      </c>
      <c r="Y234" s="2">
        <f>原始值!R234+VLOOKUP($H234,怪物强度修正!$A$2:$R$17,COLUMN(Y234)-9,FALSE)</f>
        <v>75</v>
      </c>
      <c r="Z234" s="2">
        <f>原始值!S234+VLOOKUP($H234,怪物强度修正!$A$2:$R$17,COLUMN(Z234)-9,FALSE)</f>
        <v>300</v>
      </c>
      <c r="AA234" s="2">
        <f>原始值!T234+VLOOKUP($H234,怪物强度修正!$A$2:$R$17,COLUMN(AA234)-9,FALSE)</f>
        <v>50</v>
      </c>
    </row>
    <row r="235" spans="1:27" s="2" customFormat="1">
      <c r="A235" s="2" t="str">
        <f t="shared" si="34"/>
        <v>PhyType.NewNpcType_504</v>
      </c>
      <c r="B235" s="2" t="s">
        <v>137</v>
      </c>
      <c r="C235" s="2">
        <v>504</v>
      </c>
      <c r="D235" s="2">
        <v>504</v>
      </c>
      <c r="G235" s="2" t="str">
        <f t="shared" si="61"/>
        <v>半兽人战士精英</v>
      </c>
      <c r="H235" s="2" t="str">
        <f t="shared" si="62"/>
        <v>比奇省</v>
      </c>
      <c r="I235" s="2">
        <f t="shared" si="63"/>
        <v>269</v>
      </c>
      <c r="K235" s="2">
        <f>原始值!D235+VLOOKUP($H235,怪物强度修正!$A$2:$R$17,COLUMN(K235)-9,FALSE)</f>
        <v>8</v>
      </c>
      <c r="L235" s="2">
        <f>原始值!E235+VLOOKUP($H235,怪物强度修正!$A$2:$R$17,COLUMN(L235)-9,FALSE)</f>
        <v>18</v>
      </c>
      <c r="M235" s="2">
        <f t="shared" si="38"/>
        <v>8</v>
      </c>
      <c r="N235" s="2">
        <f t="shared" si="39"/>
        <v>18</v>
      </c>
      <c r="O235" s="2">
        <f>原始值!H235+VLOOKUP($H235,怪物强度修正!$A$2:$R$17,COLUMN(O235)-9,FALSE)</f>
        <v>0</v>
      </c>
      <c r="P235" s="2">
        <f>原始值!I235+VLOOKUP($H235,怪物强度修正!$A$2:$R$17,COLUMN(P235)-9,FALSE)</f>
        <v>0</v>
      </c>
      <c r="Q235" s="2">
        <f>原始值!J235+VLOOKUP($H235,怪物强度修正!$A$2:$R$17,COLUMN(Q235)-9,FALSE)</f>
        <v>4</v>
      </c>
      <c r="R235" s="2">
        <f>原始值!K235+VLOOKUP($H235,怪物强度修正!$A$2:$R$17,COLUMN(R235)-9,FALSE)</f>
        <v>4</v>
      </c>
      <c r="S235" s="2">
        <f>原始值!L235+VLOOKUP($H235,怪物强度修正!$A$2:$R$17,COLUMN(S235)-9,FALSE)</f>
        <v>7</v>
      </c>
      <c r="T235" s="2">
        <f>原始值!M235+VLOOKUP($H235,怪物强度修正!$A$2:$R$17,COLUMN(T235)-9,FALSE)</f>
        <v>7</v>
      </c>
      <c r="U235" s="2">
        <f>原始值!N235+VLOOKUP($H235,怪物强度修正!$A$2:$R$17,COLUMN(U235)-9,FALSE)</f>
        <v>300</v>
      </c>
      <c r="V235" s="2">
        <v>1</v>
      </c>
      <c r="W235" s="2">
        <f>原始值!P235+VLOOKUP($H235,怪物强度修正!$A$2:$R$17,COLUMN(W235)-9,FALSE)</f>
        <v>10</v>
      </c>
      <c r="X235" s="2">
        <f>原始值!Q235+VLOOKUP($H235,怪物强度修正!$A$2:$R$17,COLUMN(X235)-9,FALSE)</f>
        <v>13</v>
      </c>
      <c r="Y235" s="2">
        <f>原始值!R235+VLOOKUP($H235,怪物强度修正!$A$2:$R$17,COLUMN(Y235)-9,FALSE)</f>
        <v>75</v>
      </c>
      <c r="Z235" s="2">
        <f>原始值!S235+VLOOKUP($H235,怪物强度修正!$A$2:$R$17,COLUMN(Z235)-9,FALSE)</f>
        <v>300</v>
      </c>
      <c r="AA235" s="2">
        <f>原始值!T235+VLOOKUP($H235,怪物强度修正!$A$2:$R$17,COLUMN(AA235)-9,FALSE)</f>
        <v>50</v>
      </c>
    </row>
    <row r="236" spans="1:27" s="2" customFormat="1">
      <c r="A236" s="2" t="str">
        <f t="shared" si="34"/>
        <v>PhyType.NewNpcType_5041</v>
      </c>
      <c r="B236" s="2" t="s">
        <v>137</v>
      </c>
      <c r="C236" s="2">
        <v>5041</v>
      </c>
      <c r="D236" s="2">
        <v>5041</v>
      </c>
      <c r="G236" s="2" t="str">
        <f t="shared" si="61"/>
        <v>半兽人战士_BJC精英</v>
      </c>
      <c r="H236" s="2" t="str">
        <f t="shared" si="62"/>
        <v>边界村</v>
      </c>
      <c r="I236" s="2">
        <f t="shared" si="63"/>
        <v>98</v>
      </c>
      <c r="K236" s="2">
        <f>原始值!D236+VLOOKUP($H236,怪物强度修正!$A$2:$R$17,COLUMN(K236)-9,FALSE)</f>
        <v>6</v>
      </c>
      <c r="L236" s="2">
        <f>原始值!E236+VLOOKUP($H236,怪物强度修正!$A$2:$R$17,COLUMN(L236)-9,FALSE)</f>
        <v>14</v>
      </c>
      <c r="M236" s="2">
        <f t="shared" si="38"/>
        <v>6</v>
      </c>
      <c r="N236" s="2">
        <f t="shared" si="39"/>
        <v>14</v>
      </c>
      <c r="O236" s="2">
        <f>原始值!H236+VLOOKUP($H236,怪物强度修正!$A$2:$R$17,COLUMN(O236)-9,FALSE)</f>
        <v>0</v>
      </c>
      <c r="P236" s="2">
        <f>原始值!I236+VLOOKUP($H236,怪物强度修正!$A$2:$R$17,COLUMN(P236)-9,FALSE)</f>
        <v>0</v>
      </c>
      <c r="Q236" s="2">
        <f>原始值!J236+VLOOKUP($H236,怪物强度修正!$A$2:$R$17,COLUMN(Q236)-9,FALSE)</f>
        <v>1</v>
      </c>
      <c r="R236" s="2">
        <f>原始值!K236+VLOOKUP($H236,怪物强度修正!$A$2:$R$17,COLUMN(R236)-9,FALSE)</f>
        <v>1</v>
      </c>
      <c r="S236" s="2">
        <f>原始值!L236+VLOOKUP($H236,怪物强度修正!$A$2:$R$17,COLUMN(S236)-9,FALSE)</f>
        <v>5</v>
      </c>
      <c r="T236" s="2">
        <f>原始值!M236+VLOOKUP($H236,怪物强度修正!$A$2:$R$17,COLUMN(T236)-9,FALSE)</f>
        <v>5</v>
      </c>
      <c r="U236" s="2">
        <f>原始值!N236+VLOOKUP($H236,怪物强度修正!$A$2:$R$17,COLUMN(U236)-9,FALSE)</f>
        <v>105</v>
      </c>
      <c r="V236" s="2">
        <v>1</v>
      </c>
      <c r="W236" s="2">
        <f>原始值!P236+VLOOKUP($H236,怪物强度修正!$A$2:$R$17,COLUMN(W236)-9,FALSE)</f>
        <v>10</v>
      </c>
      <c r="X236" s="2">
        <f>原始值!Q236+VLOOKUP($H236,怪物强度修正!$A$2:$R$17,COLUMN(X236)-9,FALSE)</f>
        <v>9</v>
      </c>
      <c r="Y236" s="2">
        <f>原始值!R236+VLOOKUP($H236,怪物强度修正!$A$2:$R$17,COLUMN(Y236)-9,FALSE)</f>
        <v>75</v>
      </c>
      <c r="Z236" s="2">
        <f>原始值!S236+VLOOKUP($H236,怪物强度修正!$A$2:$R$17,COLUMN(Z236)-9,FALSE)</f>
        <v>300</v>
      </c>
      <c r="AA236" s="2">
        <f>原始值!T236+VLOOKUP($H236,怪物强度修正!$A$2:$R$17,COLUMN(AA236)-9,FALSE)</f>
        <v>50</v>
      </c>
    </row>
    <row r="237" spans="1:27" s="2" customFormat="1">
      <c r="A237" s="2" t="str">
        <f t="shared" si="34"/>
        <v>PhyType.NewNpcType_5042</v>
      </c>
      <c r="B237" s="2" t="s">
        <v>137</v>
      </c>
      <c r="C237" s="2">
        <v>5042</v>
      </c>
      <c r="D237" s="2">
        <v>5042</v>
      </c>
      <c r="G237" s="2" t="str">
        <f t="shared" si="61"/>
        <v>半兽人战士_BQS精英</v>
      </c>
      <c r="H237" s="2" t="str">
        <f t="shared" si="62"/>
        <v>比奇省</v>
      </c>
      <c r="I237" s="2">
        <f t="shared" si="63"/>
        <v>119</v>
      </c>
      <c r="K237" s="2">
        <f>原始值!D237+VLOOKUP($H237,怪物强度修正!$A$2:$R$17,COLUMN(K237)-9,FALSE)</f>
        <v>8</v>
      </c>
      <c r="L237" s="2">
        <f>原始值!E237+VLOOKUP($H237,怪物强度修正!$A$2:$R$17,COLUMN(L237)-9,FALSE)</f>
        <v>17</v>
      </c>
      <c r="M237" s="2">
        <f t="shared" si="38"/>
        <v>8</v>
      </c>
      <c r="N237" s="2">
        <f t="shared" si="39"/>
        <v>17</v>
      </c>
      <c r="O237" s="2">
        <f>原始值!H237+VLOOKUP($H237,怪物强度修正!$A$2:$R$17,COLUMN(O237)-9,FALSE)</f>
        <v>0</v>
      </c>
      <c r="P237" s="2">
        <f>原始值!I237+VLOOKUP($H237,怪物强度修正!$A$2:$R$17,COLUMN(P237)-9,FALSE)</f>
        <v>0</v>
      </c>
      <c r="Q237" s="2">
        <f>原始值!J237+VLOOKUP($H237,怪物强度修正!$A$2:$R$17,COLUMN(Q237)-9,FALSE)</f>
        <v>1</v>
      </c>
      <c r="R237" s="2">
        <f>原始值!K237+VLOOKUP($H237,怪物强度修正!$A$2:$R$17,COLUMN(R237)-9,FALSE)</f>
        <v>1</v>
      </c>
      <c r="S237" s="2">
        <f>原始值!L237+VLOOKUP($H237,怪物强度修正!$A$2:$R$17,COLUMN(S237)-9,FALSE)</f>
        <v>5</v>
      </c>
      <c r="T237" s="2">
        <f>原始值!M237+VLOOKUP($H237,怪物强度修正!$A$2:$R$17,COLUMN(T237)-9,FALSE)</f>
        <v>5</v>
      </c>
      <c r="U237" s="2">
        <f>原始值!N237+VLOOKUP($H237,怪物强度修正!$A$2:$R$17,COLUMN(U237)-9,FALSE)</f>
        <v>135</v>
      </c>
      <c r="V237" s="2">
        <v>1</v>
      </c>
      <c r="W237" s="2">
        <f>原始值!P237+VLOOKUP($H237,怪物强度修正!$A$2:$R$17,COLUMN(W237)-9,FALSE)</f>
        <v>10</v>
      </c>
      <c r="X237" s="2">
        <f>原始值!Q237+VLOOKUP($H237,怪物强度修正!$A$2:$R$17,COLUMN(X237)-9,FALSE)</f>
        <v>10</v>
      </c>
      <c r="Y237" s="2">
        <f>原始值!R237+VLOOKUP($H237,怪物强度修正!$A$2:$R$17,COLUMN(Y237)-9,FALSE)</f>
        <v>75</v>
      </c>
      <c r="Z237" s="2">
        <f>原始值!S237+VLOOKUP($H237,怪物强度修正!$A$2:$R$17,COLUMN(Z237)-9,FALSE)</f>
        <v>300</v>
      </c>
      <c r="AA237" s="2">
        <f>原始值!T237+VLOOKUP($H237,怪物强度修正!$A$2:$R$17,COLUMN(AA237)-9,FALSE)</f>
        <v>50</v>
      </c>
    </row>
    <row r="238" spans="1:27" s="2" customFormat="1">
      <c r="A238" s="2" t="str">
        <f t="shared" si="34"/>
        <v>PhyType.NewNpcType_505</v>
      </c>
      <c r="B238" s="2" t="s">
        <v>137</v>
      </c>
      <c r="C238" s="2">
        <v>505</v>
      </c>
      <c r="D238" s="2">
        <v>505</v>
      </c>
      <c r="G238" s="2" t="str">
        <f t="shared" si="61"/>
        <v>半兽人勇士精英</v>
      </c>
      <c r="H238" s="2" t="str">
        <f t="shared" si="62"/>
        <v>比奇省</v>
      </c>
      <c r="I238" s="2">
        <f t="shared" si="63"/>
        <v>899</v>
      </c>
      <c r="K238" s="2">
        <f>原始值!D238+VLOOKUP($H238,怪物强度修正!$A$2:$R$17,COLUMN(K238)-9,FALSE)</f>
        <v>23</v>
      </c>
      <c r="L238" s="2">
        <f>原始值!E238+VLOOKUP($H238,怪物强度修正!$A$2:$R$17,COLUMN(L238)-9,FALSE)</f>
        <v>48</v>
      </c>
      <c r="M238" s="2">
        <f t="shared" si="38"/>
        <v>23</v>
      </c>
      <c r="N238" s="2">
        <f t="shared" si="39"/>
        <v>48</v>
      </c>
      <c r="O238" s="2">
        <f>原始值!H238+VLOOKUP($H238,怪物强度修正!$A$2:$R$17,COLUMN(O238)-9,FALSE)</f>
        <v>0</v>
      </c>
      <c r="P238" s="2">
        <f>原始值!I238+VLOOKUP($H238,怪物强度修正!$A$2:$R$17,COLUMN(P238)-9,FALSE)</f>
        <v>0</v>
      </c>
      <c r="Q238" s="2">
        <f>原始值!J238+VLOOKUP($H238,怪物强度修正!$A$2:$R$17,COLUMN(Q238)-9,FALSE)</f>
        <v>0</v>
      </c>
      <c r="R238" s="2">
        <f>原始值!K238+VLOOKUP($H238,怪物强度修正!$A$2:$R$17,COLUMN(R238)-9,FALSE)</f>
        <v>0</v>
      </c>
      <c r="S238" s="2">
        <f>原始值!L238+VLOOKUP($H238,怪物强度修正!$A$2:$R$17,COLUMN(S238)-9,FALSE)</f>
        <v>5</v>
      </c>
      <c r="T238" s="2">
        <f>原始值!M238+VLOOKUP($H238,怪物强度修正!$A$2:$R$17,COLUMN(T238)-9,FALSE)</f>
        <v>5</v>
      </c>
      <c r="U238" s="2">
        <f>原始值!N238+VLOOKUP($H238,怪物强度修正!$A$2:$R$17,COLUMN(U238)-9,FALSE)</f>
        <v>900</v>
      </c>
      <c r="V238" s="2">
        <v>1</v>
      </c>
      <c r="W238" s="2">
        <f>原始值!P238+VLOOKUP($H238,怪物强度修正!$A$2:$R$17,COLUMN(W238)-9,FALSE)</f>
        <v>13</v>
      </c>
      <c r="X238" s="2">
        <f>原始值!Q238+VLOOKUP($H238,怪物强度修正!$A$2:$R$17,COLUMN(X238)-9,FALSE)</f>
        <v>13</v>
      </c>
      <c r="Y238" s="2">
        <f>原始值!R238+VLOOKUP($H238,怪物强度修正!$A$2:$R$17,COLUMN(Y238)-9,FALSE)</f>
        <v>75</v>
      </c>
      <c r="Z238" s="2">
        <f>原始值!S238+VLOOKUP($H238,怪物强度修正!$A$2:$R$17,COLUMN(Z238)-9,FALSE)</f>
        <v>300</v>
      </c>
      <c r="AA238" s="2">
        <f>原始值!T238+VLOOKUP($H238,怪物强度修正!$A$2:$R$17,COLUMN(AA238)-9,FALSE)</f>
        <v>50</v>
      </c>
    </row>
    <row r="239" spans="1:27" s="2" customFormat="1">
      <c r="A239" s="2" t="str">
        <f t="shared" si="34"/>
        <v>PhyType.NewNpcType_5051</v>
      </c>
      <c r="B239" s="2" t="s">
        <v>137</v>
      </c>
      <c r="C239" s="2">
        <v>5051</v>
      </c>
      <c r="D239" s="2">
        <v>5051</v>
      </c>
      <c r="G239" s="2" t="str">
        <f t="shared" si="61"/>
        <v>半兽人勇士_BJC精英</v>
      </c>
      <c r="H239" s="2" t="str">
        <f t="shared" si="62"/>
        <v>边界村</v>
      </c>
      <c r="I239" s="2">
        <f t="shared" si="63"/>
        <v>179</v>
      </c>
      <c r="K239" s="2">
        <f>原始值!D239+VLOOKUP($H239,怪物强度修正!$A$2:$R$17,COLUMN(K239)-9,FALSE)</f>
        <v>9</v>
      </c>
      <c r="L239" s="2">
        <f>原始值!E239+VLOOKUP($H239,怪物强度修正!$A$2:$R$17,COLUMN(L239)-9,FALSE)</f>
        <v>20</v>
      </c>
      <c r="M239" s="2">
        <f t="shared" si="38"/>
        <v>9</v>
      </c>
      <c r="N239" s="2">
        <f t="shared" si="39"/>
        <v>20</v>
      </c>
      <c r="O239" s="2">
        <f>原始值!H239+VLOOKUP($H239,怪物强度修正!$A$2:$R$17,COLUMN(O239)-9,FALSE)</f>
        <v>0</v>
      </c>
      <c r="P239" s="2">
        <f>原始值!I239+VLOOKUP($H239,怪物强度修正!$A$2:$R$17,COLUMN(P239)-9,FALSE)</f>
        <v>0</v>
      </c>
      <c r="Q239" s="2">
        <f>原始值!J239+VLOOKUP($H239,怪物强度修正!$A$2:$R$17,COLUMN(Q239)-9,FALSE)</f>
        <v>3</v>
      </c>
      <c r="R239" s="2">
        <f>原始值!K239+VLOOKUP($H239,怪物强度修正!$A$2:$R$17,COLUMN(R239)-9,FALSE)</f>
        <v>3</v>
      </c>
      <c r="S239" s="2">
        <f>原始值!L239+VLOOKUP($H239,怪物强度修正!$A$2:$R$17,COLUMN(S239)-9,FALSE)</f>
        <v>7</v>
      </c>
      <c r="T239" s="2">
        <f>原始值!M239+VLOOKUP($H239,怪物强度修正!$A$2:$R$17,COLUMN(T239)-9,FALSE)</f>
        <v>7</v>
      </c>
      <c r="U239" s="2">
        <f>原始值!N239+VLOOKUP($H239,怪物强度修正!$A$2:$R$17,COLUMN(U239)-9,FALSE)</f>
        <v>195</v>
      </c>
      <c r="V239" s="2">
        <v>1</v>
      </c>
      <c r="W239" s="2">
        <f>原始值!P239+VLOOKUP($H239,怪物强度修正!$A$2:$R$17,COLUMN(W239)-9,FALSE)</f>
        <v>13</v>
      </c>
      <c r="X239" s="2">
        <f>原始值!Q239+VLOOKUP($H239,怪物强度修正!$A$2:$R$17,COLUMN(X239)-9,FALSE)</f>
        <v>10</v>
      </c>
      <c r="Y239" s="2">
        <f>原始值!R239+VLOOKUP($H239,怪物强度修正!$A$2:$R$17,COLUMN(Y239)-9,FALSE)</f>
        <v>75</v>
      </c>
      <c r="Z239" s="2">
        <f>原始值!S239+VLOOKUP($H239,怪物强度修正!$A$2:$R$17,COLUMN(Z239)-9,FALSE)</f>
        <v>300</v>
      </c>
      <c r="AA239" s="2">
        <f>原始值!T239+VLOOKUP($H239,怪物强度修正!$A$2:$R$17,COLUMN(AA239)-9,FALSE)</f>
        <v>50</v>
      </c>
    </row>
    <row r="240" spans="1:27" s="2" customFormat="1">
      <c r="A240" s="2" t="str">
        <f t="shared" si="34"/>
        <v>PhyType.NewNpcType_5052</v>
      </c>
      <c r="B240" s="2" t="s">
        <v>137</v>
      </c>
      <c r="C240" s="2">
        <v>5052</v>
      </c>
      <c r="D240" s="2">
        <v>5052</v>
      </c>
      <c r="G240" s="2" t="str">
        <f t="shared" si="61"/>
        <v>半兽人勇士_BQS精英</v>
      </c>
      <c r="H240" s="2" t="str">
        <f t="shared" si="62"/>
        <v>比奇省</v>
      </c>
      <c r="I240" s="2">
        <f t="shared" si="63"/>
        <v>179</v>
      </c>
      <c r="K240" s="2">
        <f>原始值!D240+VLOOKUP($H240,怪物强度修正!$A$2:$R$17,COLUMN(K240)-9,FALSE)</f>
        <v>9</v>
      </c>
      <c r="L240" s="2">
        <f>原始值!E240+VLOOKUP($H240,怪物强度修正!$A$2:$R$17,COLUMN(L240)-9,FALSE)</f>
        <v>20</v>
      </c>
      <c r="M240" s="2">
        <f t="shared" si="38"/>
        <v>9</v>
      </c>
      <c r="N240" s="2">
        <f t="shared" si="39"/>
        <v>20</v>
      </c>
      <c r="O240" s="2">
        <f>原始值!H240+VLOOKUP($H240,怪物强度修正!$A$2:$R$17,COLUMN(O240)-9,FALSE)</f>
        <v>0</v>
      </c>
      <c r="P240" s="2">
        <f>原始值!I240+VLOOKUP($H240,怪物强度修正!$A$2:$R$17,COLUMN(P240)-9,FALSE)</f>
        <v>0</v>
      </c>
      <c r="Q240" s="2">
        <f>原始值!J240+VLOOKUP($H240,怪物强度修正!$A$2:$R$17,COLUMN(Q240)-9,FALSE)</f>
        <v>3</v>
      </c>
      <c r="R240" s="2">
        <f>原始值!K240+VLOOKUP($H240,怪物强度修正!$A$2:$R$17,COLUMN(R240)-9,FALSE)</f>
        <v>3</v>
      </c>
      <c r="S240" s="2">
        <f>原始值!L240+VLOOKUP($H240,怪物强度修正!$A$2:$R$17,COLUMN(S240)-9,FALSE)</f>
        <v>7</v>
      </c>
      <c r="T240" s="2">
        <f>原始值!M240+VLOOKUP($H240,怪物强度修正!$A$2:$R$17,COLUMN(T240)-9,FALSE)</f>
        <v>7</v>
      </c>
      <c r="U240" s="2">
        <f>原始值!N240+VLOOKUP($H240,怪物强度修正!$A$2:$R$17,COLUMN(U240)-9,FALSE)</f>
        <v>195</v>
      </c>
      <c r="V240" s="2">
        <v>1</v>
      </c>
      <c r="W240" s="2">
        <f>原始值!P240+VLOOKUP($H240,怪物强度修正!$A$2:$R$17,COLUMN(W240)-9,FALSE)</f>
        <v>13</v>
      </c>
      <c r="X240" s="2">
        <f>原始值!Q240+VLOOKUP($H240,怪物强度修正!$A$2:$R$17,COLUMN(X240)-9,FALSE)</f>
        <v>11</v>
      </c>
      <c r="Y240" s="2">
        <f>原始值!R240+VLOOKUP($H240,怪物强度修正!$A$2:$R$17,COLUMN(Y240)-9,FALSE)</f>
        <v>75</v>
      </c>
      <c r="Z240" s="2">
        <f>原始值!S240+VLOOKUP($H240,怪物强度修正!$A$2:$R$17,COLUMN(Z240)-9,FALSE)</f>
        <v>300</v>
      </c>
      <c r="AA240" s="2">
        <f>原始值!T240+VLOOKUP($H240,怪物强度修正!$A$2:$R$17,COLUMN(AA240)-9,FALSE)</f>
        <v>50</v>
      </c>
    </row>
    <row r="241" spans="1:27" s="2" customFormat="1">
      <c r="A241" s="2" t="str">
        <f t="shared" si="34"/>
        <v>PhyType.NewNpcType_506</v>
      </c>
      <c r="B241" s="2" t="s">
        <v>137</v>
      </c>
      <c r="C241" s="2">
        <v>506</v>
      </c>
      <c r="D241" s="2">
        <v>506</v>
      </c>
      <c r="G241" s="2" t="str">
        <f t="shared" si="61"/>
        <v>鹿精英</v>
      </c>
      <c r="H241" s="2" t="str">
        <f t="shared" si="62"/>
        <v>边界村</v>
      </c>
      <c r="I241" s="2">
        <f t="shared" si="63"/>
        <v>44</v>
      </c>
      <c r="K241" s="2">
        <f>原始值!D241+VLOOKUP($H241,怪物强度修正!$A$2:$R$17,COLUMN(K241)-9,FALSE)</f>
        <v>3</v>
      </c>
      <c r="L241" s="2">
        <f>原始值!E241+VLOOKUP($H241,怪物强度修正!$A$2:$R$17,COLUMN(L241)-9,FALSE)</f>
        <v>6</v>
      </c>
      <c r="M241" s="2">
        <f t="shared" si="38"/>
        <v>3</v>
      </c>
      <c r="N241" s="2">
        <f t="shared" si="39"/>
        <v>6</v>
      </c>
      <c r="O241" s="2">
        <f>原始值!H241+VLOOKUP($H241,怪物强度修正!$A$2:$R$17,COLUMN(O241)-9,FALSE)</f>
        <v>0</v>
      </c>
      <c r="P241" s="2">
        <f>原始值!I241+VLOOKUP($H241,怪物强度修正!$A$2:$R$17,COLUMN(P241)-9,FALSE)</f>
        <v>0</v>
      </c>
      <c r="Q241" s="2">
        <f>原始值!J241+VLOOKUP($H241,怪物强度修正!$A$2:$R$17,COLUMN(Q241)-9,FALSE)</f>
        <v>0</v>
      </c>
      <c r="R241" s="2">
        <f>原始值!K241+VLOOKUP($H241,怪物强度修正!$A$2:$R$17,COLUMN(R241)-9,FALSE)</f>
        <v>0</v>
      </c>
      <c r="S241" s="2">
        <f>原始值!L241+VLOOKUP($H241,怪物强度修正!$A$2:$R$17,COLUMN(S241)-9,FALSE)</f>
        <v>5</v>
      </c>
      <c r="T241" s="2">
        <f>原始值!M241+VLOOKUP($H241,怪物强度修正!$A$2:$R$17,COLUMN(T241)-9,FALSE)</f>
        <v>5</v>
      </c>
      <c r="U241" s="2">
        <f>原始值!N241+VLOOKUP($H241,怪物强度修正!$A$2:$R$17,COLUMN(U241)-9,FALSE)</f>
        <v>45</v>
      </c>
      <c r="V241" s="2">
        <v>1</v>
      </c>
      <c r="W241" s="2">
        <f>原始值!P241+VLOOKUP($H241,怪物强度修正!$A$2:$R$17,COLUMN(W241)-9,FALSE)</f>
        <v>12</v>
      </c>
      <c r="X241" s="2">
        <f>原始值!Q241+VLOOKUP($H241,怪物强度修正!$A$2:$R$17,COLUMN(X241)-9,FALSE)</f>
        <v>1</v>
      </c>
      <c r="Y241" s="2">
        <f>原始值!R241+VLOOKUP($H241,怪物强度修正!$A$2:$R$17,COLUMN(Y241)-9,FALSE)</f>
        <v>75</v>
      </c>
      <c r="Z241" s="2">
        <f>原始值!S241+VLOOKUP($H241,怪物强度修正!$A$2:$R$17,COLUMN(Z241)-9,FALSE)</f>
        <v>300</v>
      </c>
      <c r="AA241" s="2">
        <f>原始值!T241+VLOOKUP($H241,怪物强度修正!$A$2:$R$17,COLUMN(AA241)-9,FALSE)</f>
        <v>50</v>
      </c>
    </row>
    <row r="242" spans="1:27" s="2" customFormat="1">
      <c r="A242" s="2" t="str">
        <f t="shared" si="34"/>
        <v>PhyType.NewNpcType_507</v>
      </c>
      <c r="B242" s="2" t="s">
        <v>137</v>
      </c>
      <c r="C242" s="2">
        <v>507</v>
      </c>
      <c r="D242" s="2">
        <v>507</v>
      </c>
      <c r="G242" s="2" t="str">
        <f t="shared" si="61"/>
        <v>残肢僵尸精英</v>
      </c>
      <c r="H242" s="2" t="str">
        <f t="shared" si="62"/>
        <v>比奇矿区</v>
      </c>
      <c r="I242" s="2">
        <f t="shared" si="63"/>
        <v>419</v>
      </c>
      <c r="K242" s="2">
        <f>原始值!D242+VLOOKUP($H242,怪物强度修正!$A$2:$R$17,COLUMN(K242)-9,FALSE)</f>
        <v>8</v>
      </c>
      <c r="L242" s="2">
        <f>原始值!E242+VLOOKUP($H242,怪物强度修正!$A$2:$R$17,COLUMN(L242)-9,FALSE)</f>
        <v>18</v>
      </c>
      <c r="M242" s="2">
        <f t="shared" si="38"/>
        <v>8</v>
      </c>
      <c r="N242" s="2">
        <f t="shared" si="39"/>
        <v>18</v>
      </c>
      <c r="O242" s="2">
        <f>原始值!H242+VLOOKUP($H242,怪物强度修正!$A$2:$R$17,COLUMN(O242)-9,FALSE)</f>
        <v>0</v>
      </c>
      <c r="P242" s="2">
        <f>原始值!I242+VLOOKUP($H242,怪物强度修正!$A$2:$R$17,COLUMN(P242)-9,FALSE)</f>
        <v>0</v>
      </c>
      <c r="Q242" s="2">
        <f>原始值!J242+VLOOKUP($H242,怪物强度修正!$A$2:$R$17,COLUMN(Q242)-9,FALSE)</f>
        <v>3</v>
      </c>
      <c r="R242" s="2">
        <f>原始值!K242+VLOOKUP($H242,怪物强度修正!$A$2:$R$17,COLUMN(R242)-9,FALSE)</f>
        <v>3</v>
      </c>
      <c r="S242" s="2">
        <f>原始值!L242+VLOOKUP($H242,怪物强度修正!$A$2:$R$17,COLUMN(S242)-9,FALSE)</f>
        <v>7</v>
      </c>
      <c r="T242" s="2">
        <f>原始值!M242+VLOOKUP($H242,怪物强度修正!$A$2:$R$17,COLUMN(T242)-9,FALSE)</f>
        <v>7</v>
      </c>
      <c r="U242" s="2">
        <f>原始值!N242+VLOOKUP($H242,怪物强度修正!$A$2:$R$17,COLUMN(U242)-9,FALSE)</f>
        <v>465</v>
      </c>
      <c r="V242" s="2">
        <v>1</v>
      </c>
      <c r="W242" s="2">
        <f>原始值!P242+VLOOKUP($H242,怪物强度修正!$A$2:$R$17,COLUMN(W242)-9,FALSE)</f>
        <v>12</v>
      </c>
      <c r="X242" s="2">
        <f>原始值!Q242+VLOOKUP($H242,怪物强度修正!$A$2:$R$17,COLUMN(X242)-9,FALSE)</f>
        <v>15</v>
      </c>
      <c r="Y242" s="2">
        <f>原始值!R242+VLOOKUP($H242,怪物强度修正!$A$2:$R$17,COLUMN(Y242)-9,FALSE)</f>
        <v>75</v>
      </c>
      <c r="Z242" s="2">
        <f>原始值!S242+VLOOKUP($H242,怪物强度修正!$A$2:$R$17,COLUMN(Z242)-9,FALSE)</f>
        <v>300</v>
      </c>
      <c r="AA242" s="2">
        <f>原始值!T242+VLOOKUP($H242,怪物强度修正!$A$2:$R$17,COLUMN(AA242)-9,FALSE)</f>
        <v>50</v>
      </c>
    </row>
    <row r="243" spans="1:27" s="2" customFormat="1">
      <c r="A243" s="2" t="str">
        <f t="shared" si="34"/>
        <v>PhyType.NewNpcType_508</v>
      </c>
      <c r="B243" s="2" t="s">
        <v>137</v>
      </c>
      <c r="C243" s="2">
        <v>508</v>
      </c>
      <c r="D243" s="2">
        <v>508</v>
      </c>
      <c r="G243" s="2" t="str">
        <f t="shared" si="61"/>
        <v>直立僵尸精英</v>
      </c>
      <c r="H243" s="2" t="str">
        <f t="shared" si="62"/>
        <v>比奇矿区</v>
      </c>
      <c r="I243" s="2">
        <f t="shared" si="63"/>
        <v>449</v>
      </c>
      <c r="K243" s="2">
        <f>原始值!D243+VLOOKUP($H243,怪物强度修正!$A$2:$R$17,COLUMN(K243)-9,FALSE)</f>
        <v>8</v>
      </c>
      <c r="L243" s="2">
        <f>原始值!E243+VLOOKUP($H243,怪物强度修正!$A$2:$R$17,COLUMN(L243)-9,FALSE)</f>
        <v>23</v>
      </c>
      <c r="M243" s="2">
        <f t="shared" si="38"/>
        <v>8</v>
      </c>
      <c r="N243" s="2">
        <f t="shared" si="39"/>
        <v>23</v>
      </c>
      <c r="O243" s="2">
        <f>原始值!H243+VLOOKUP($H243,怪物强度修正!$A$2:$R$17,COLUMN(O243)-9,FALSE)</f>
        <v>0</v>
      </c>
      <c r="P243" s="2">
        <f>原始值!I243+VLOOKUP($H243,怪物强度修正!$A$2:$R$17,COLUMN(P243)-9,FALSE)</f>
        <v>0</v>
      </c>
      <c r="Q243" s="2">
        <f>原始值!J243+VLOOKUP($H243,怪物强度修正!$A$2:$R$17,COLUMN(Q243)-9,FALSE)</f>
        <v>3</v>
      </c>
      <c r="R243" s="2">
        <f>原始值!K243+VLOOKUP($H243,怪物强度修正!$A$2:$R$17,COLUMN(R243)-9,FALSE)</f>
        <v>3</v>
      </c>
      <c r="S243" s="2">
        <f>原始值!L243+VLOOKUP($H243,怪物强度修正!$A$2:$R$17,COLUMN(S243)-9,FALSE)</f>
        <v>7</v>
      </c>
      <c r="T243" s="2">
        <f>原始值!M243+VLOOKUP($H243,怪物强度修正!$A$2:$R$17,COLUMN(T243)-9,FALSE)</f>
        <v>7</v>
      </c>
      <c r="U243" s="2">
        <f>原始值!N243+VLOOKUP($H243,怪物强度修正!$A$2:$R$17,COLUMN(U243)-9,FALSE)</f>
        <v>465</v>
      </c>
      <c r="V243" s="2">
        <v>1</v>
      </c>
      <c r="W243" s="2">
        <f>原始值!P243+VLOOKUP($H243,怪物强度修正!$A$2:$R$17,COLUMN(W243)-9,FALSE)</f>
        <v>12</v>
      </c>
      <c r="X243" s="2">
        <f>原始值!Q243+VLOOKUP($H243,怪物强度修正!$A$2:$R$17,COLUMN(X243)-9,FALSE)</f>
        <v>15</v>
      </c>
      <c r="Y243" s="2">
        <f>原始值!R243+VLOOKUP($H243,怪物强度修正!$A$2:$R$17,COLUMN(Y243)-9,FALSE)</f>
        <v>75</v>
      </c>
      <c r="Z243" s="2">
        <f>原始值!S243+VLOOKUP($H243,怪物强度修正!$A$2:$R$17,COLUMN(Z243)-9,FALSE)</f>
        <v>300</v>
      </c>
      <c r="AA243" s="2">
        <f>原始值!T243+VLOOKUP($H243,怪物强度修正!$A$2:$R$17,COLUMN(AA243)-9,FALSE)</f>
        <v>50</v>
      </c>
    </row>
    <row r="244" spans="1:27" s="2" customFormat="1">
      <c r="A244" s="2" t="str">
        <f t="shared" si="34"/>
        <v>PhyType.NewNpcType_509</v>
      </c>
      <c r="B244" s="2" t="s">
        <v>137</v>
      </c>
      <c r="C244" s="2">
        <v>509</v>
      </c>
      <c r="D244" s="2">
        <v>509</v>
      </c>
      <c r="G244" s="2" t="str">
        <f t="shared" si="61"/>
        <v>和尚僵尸精英</v>
      </c>
      <c r="H244" s="2" t="str">
        <f t="shared" si="62"/>
        <v>比奇矿区</v>
      </c>
      <c r="I244" s="2">
        <f t="shared" si="63"/>
        <v>479</v>
      </c>
      <c r="K244" s="2">
        <f>原始值!D244+VLOOKUP($H244,怪物强度修正!$A$2:$R$17,COLUMN(K244)-9,FALSE)</f>
        <v>12</v>
      </c>
      <c r="L244" s="2">
        <f>原始值!E244+VLOOKUP($H244,怪物强度修正!$A$2:$R$17,COLUMN(L244)-9,FALSE)</f>
        <v>23</v>
      </c>
      <c r="M244" s="2">
        <f t="shared" si="38"/>
        <v>12</v>
      </c>
      <c r="N244" s="2">
        <f t="shared" si="39"/>
        <v>23</v>
      </c>
      <c r="O244" s="2">
        <f>原始值!H244+VLOOKUP($H244,怪物强度修正!$A$2:$R$17,COLUMN(O244)-9,FALSE)</f>
        <v>0</v>
      </c>
      <c r="P244" s="2">
        <f>原始值!I244+VLOOKUP($H244,怪物强度修正!$A$2:$R$17,COLUMN(P244)-9,FALSE)</f>
        <v>0</v>
      </c>
      <c r="Q244" s="2">
        <f>原始值!J244+VLOOKUP($H244,怪物强度修正!$A$2:$R$17,COLUMN(Q244)-9,FALSE)</f>
        <v>3</v>
      </c>
      <c r="R244" s="2">
        <f>原始值!K244+VLOOKUP($H244,怪物强度修正!$A$2:$R$17,COLUMN(R244)-9,FALSE)</f>
        <v>3</v>
      </c>
      <c r="S244" s="2">
        <f>原始值!L244+VLOOKUP($H244,怪物强度修正!$A$2:$R$17,COLUMN(S244)-9,FALSE)</f>
        <v>7</v>
      </c>
      <c r="T244" s="2">
        <f>原始值!M244+VLOOKUP($H244,怪物强度修正!$A$2:$R$17,COLUMN(T244)-9,FALSE)</f>
        <v>7</v>
      </c>
      <c r="U244" s="2">
        <f>原始值!N244+VLOOKUP($H244,怪物强度修正!$A$2:$R$17,COLUMN(U244)-9,FALSE)</f>
        <v>465</v>
      </c>
      <c r="V244" s="2">
        <v>1</v>
      </c>
      <c r="W244" s="2">
        <f>原始值!P244+VLOOKUP($H244,怪物强度修正!$A$2:$R$17,COLUMN(W244)-9,FALSE)</f>
        <v>12</v>
      </c>
      <c r="X244" s="2">
        <f>原始值!Q244+VLOOKUP($H244,怪物强度修正!$A$2:$R$17,COLUMN(X244)-9,FALSE)</f>
        <v>15</v>
      </c>
      <c r="Y244" s="2">
        <f>原始值!R244+VLOOKUP($H244,怪物强度修正!$A$2:$R$17,COLUMN(Y244)-9,FALSE)</f>
        <v>75</v>
      </c>
      <c r="Z244" s="2">
        <f>原始值!S244+VLOOKUP($H244,怪物强度修正!$A$2:$R$17,COLUMN(Z244)-9,FALSE)</f>
        <v>300</v>
      </c>
      <c r="AA244" s="2">
        <f>原始值!T244+VLOOKUP($H244,怪物强度修正!$A$2:$R$17,COLUMN(AA244)-9,FALSE)</f>
        <v>50</v>
      </c>
    </row>
    <row r="245" spans="1:27" s="2" customFormat="1">
      <c r="A245" s="2" t="str">
        <f t="shared" si="34"/>
        <v>PhyType.NewNpcType_510</v>
      </c>
      <c r="B245" s="2" t="s">
        <v>137</v>
      </c>
      <c r="C245" s="2">
        <v>510</v>
      </c>
      <c r="D245" s="2">
        <v>510</v>
      </c>
      <c r="G245" s="2" t="str">
        <f t="shared" si="61"/>
        <v>道士僵尸精英</v>
      </c>
      <c r="H245" s="2" t="str">
        <f t="shared" si="62"/>
        <v>比奇矿区</v>
      </c>
      <c r="I245" s="2">
        <f t="shared" si="63"/>
        <v>509</v>
      </c>
      <c r="K245" s="2">
        <f>原始值!D245+VLOOKUP($H245,怪物强度修正!$A$2:$R$17,COLUMN(K245)-9,FALSE)</f>
        <v>12</v>
      </c>
      <c r="L245" s="2">
        <f>原始值!E245+VLOOKUP($H245,怪物强度修正!$A$2:$R$17,COLUMN(L245)-9,FALSE)</f>
        <v>26</v>
      </c>
      <c r="M245" s="2">
        <f t="shared" si="38"/>
        <v>12</v>
      </c>
      <c r="N245" s="2">
        <f t="shared" si="39"/>
        <v>26</v>
      </c>
      <c r="O245" s="2">
        <f>原始值!H245+VLOOKUP($H245,怪物强度修正!$A$2:$R$17,COLUMN(O245)-9,FALSE)</f>
        <v>0</v>
      </c>
      <c r="P245" s="2">
        <f>原始值!I245+VLOOKUP($H245,怪物强度修正!$A$2:$R$17,COLUMN(P245)-9,FALSE)</f>
        <v>0</v>
      </c>
      <c r="Q245" s="2">
        <f>原始值!J245+VLOOKUP($H245,怪物强度修正!$A$2:$R$17,COLUMN(Q245)-9,FALSE)</f>
        <v>3</v>
      </c>
      <c r="R245" s="2">
        <f>原始值!K245+VLOOKUP($H245,怪物强度修正!$A$2:$R$17,COLUMN(R245)-9,FALSE)</f>
        <v>3</v>
      </c>
      <c r="S245" s="2">
        <f>原始值!L245+VLOOKUP($H245,怪物强度修正!$A$2:$R$17,COLUMN(S245)-9,FALSE)</f>
        <v>8</v>
      </c>
      <c r="T245" s="2">
        <f>原始值!M245+VLOOKUP($H245,怪物强度修正!$A$2:$R$17,COLUMN(T245)-9,FALSE)</f>
        <v>8</v>
      </c>
      <c r="U245" s="2">
        <f>原始值!N245+VLOOKUP($H245,怪物强度修正!$A$2:$R$17,COLUMN(U245)-9,FALSE)</f>
        <v>465</v>
      </c>
      <c r="V245" s="2">
        <v>1</v>
      </c>
      <c r="W245" s="2">
        <f>原始值!P245+VLOOKUP($H245,怪物强度修正!$A$2:$R$17,COLUMN(W245)-9,FALSE)</f>
        <v>12</v>
      </c>
      <c r="X245" s="2">
        <f>原始值!Q245+VLOOKUP($H245,怪物强度修正!$A$2:$R$17,COLUMN(X245)-9,FALSE)</f>
        <v>15</v>
      </c>
      <c r="Y245" s="2">
        <f>原始值!R245+VLOOKUP($H245,怪物强度修正!$A$2:$R$17,COLUMN(Y245)-9,FALSE)</f>
        <v>75</v>
      </c>
      <c r="Z245" s="2">
        <f>原始值!S245+VLOOKUP($H245,怪物强度修正!$A$2:$R$17,COLUMN(Z245)-9,FALSE)</f>
        <v>300</v>
      </c>
      <c r="AA245" s="2">
        <f>原始值!T245+VLOOKUP($H245,怪物强度修正!$A$2:$R$17,COLUMN(AA245)-9,FALSE)</f>
        <v>50</v>
      </c>
    </row>
    <row r="246" spans="1:27" s="2" customFormat="1">
      <c r="A246" s="2" t="str">
        <f t="shared" si="34"/>
        <v>PhyType.NewNpcType_511</v>
      </c>
      <c r="B246" s="2" t="s">
        <v>137</v>
      </c>
      <c r="C246" s="2">
        <v>511</v>
      </c>
      <c r="D246" s="2">
        <v>511</v>
      </c>
      <c r="G246" s="2" t="str">
        <f t="shared" si="61"/>
        <v>矿区小蝙蝠精英</v>
      </c>
      <c r="H246" s="2" t="str">
        <f t="shared" si="62"/>
        <v>比奇矿区</v>
      </c>
      <c r="I246" s="2">
        <f t="shared" si="63"/>
        <v>74</v>
      </c>
      <c r="K246" s="2">
        <f>原始值!D246+VLOOKUP($H246,怪物强度修正!$A$2:$R$17,COLUMN(K246)-9,FALSE)</f>
        <v>6</v>
      </c>
      <c r="L246" s="2">
        <f>原始值!E246+VLOOKUP($H246,怪物强度修正!$A$2:$R$17,COLUMN(L246)-9,FALSE)</f>
        <v>9</v>
      </c>
      <c r="M246" s="2">
        <f t="shared" si="38"/>
        <v>6</v>
      </c>
      <c r="N246" s="2">
        <f t="shared" si="39"/>
        <v>9</v>
      </c>
      <c r="O246" s="2">
        <f>原始值!H246+VLOOKUP($H246,怪物强度修正!$A$2:$R$17,COLUMN(O246)-9,FALSE)</f>
        <v>0</v>
      </c>
      <c r="P246" s="2">
        <f>原始值!I246+VLOOKUP($H246,怪物强度修正!$A$2:$R$17,COLUMN(P246)-9,FALSE)</f>
        <v>0</v>
      </c>
      <c r="Q246" s="2">
        <f>原始值!J246+VLOOKUP($H246,怪物强度修正!$A$2:$R$17,COLUMN(Q246)-9,FALSE)</f>
        <v>3</v>
      </c>
      <c r="R246" s="2">
        <f>原始值!K246+VLOOKUP($H246,怪物强度修正!$A$2:$R$17,COLUMN(R246)-9,FALSE)</f>
        <v>3</v>
      </c>
      <c r="S246" s="2">
        <f>原始值!L246+VLOOKUP($H246,怪物强度修正!$A$2:$R$17,COLUMN(S246)-9,FALSE)</f>
        <v>5</v>
      </c>
      <c r="T246" s="2">
        <f>原始值!M246+VLOOKUP($H246,怪物强度修正!$A$2:$R$17,COLUMN(T246)-9,FALSE)</f>
        <v>5</v>
      </c>
      <c r="U246" s="2">
        <f>原始值!N246+VLOOKUP($H246,怪物强度修正!$A$2:$R$17,COLUMN(U246)-9,FALSE)</f>
        <v>75</v>
      </c>
      <c r="V246" s="2">
        <v>1</v>
      </c>
      <c r="W246" s="2">
        <f>原始值!P246+VLOOKUP($H246,怪物强度修正!$A$2:$R$17,COLUMN(W246)-9,FALSE)</f>
        <v>11</v>
      </c>
      <c r="X246" s="2">
        <f>原始值!Q246+VLOOKUP($H246,怪物强度修正!$A$2:$R$17,COLUMN(X246)-9,FALSE)</f>
        <v>25</v>
      </c>
      <c r="Y246" s="2">
        <f>原始值!R246+VLOOKUP($H246,怪物强度修正!$A$2:$R$17,COLUMN(Y246)-9,FALSE)</f>
        <v>75</v>
      </c>
      <c r="Z246" s="2">
        <f>原始值!S246+VLOOKUP($H246,怪物强度修正!$A$2:$R$17,COLUMN(Z246)-9,FALSE)</f>
        <v>300</v>
      </c>
      <c r="AA246" s="2">
        <f>原始值!T246+VLOOKUP($H246,怪物强度修正!$A$2:$R$17,COLUMN(AA246)-9,FALSE)</f>
        <v>50</v>
      </c>
    </row>
    <row r="247" spans="1:27" s="2" customFormat="1">
      <c r="A247" s="2" t="str">
        <f t="shared" si="34"/>
        <v>PhyType.NewNpcType_512</v>
      </c>
      <c r="B247" s="2" t="s">
        <v>137</v>
      </c>
      <c r="C247" s="2">
        <v>512</v>
      </c>
      <c r="D247" s="2">
        <v>512</v>
      </c>
      <c r="G247" s="2" t="str">
        <f t="shared" si="61"/>
        <v>暗黑战士精英</v>
      </c>
      <c r="H247" s="2" t="str">
        <f t="shared" si="62"/>
        <v>沃玛寺庙</v>
      </c>
      <c r="I247" s="2">
        <f t="shared" si="63"/>
        <v>599</v>
      </c>
      <c r="K247" s="2">
        <f>原始值!D247+VLOOKUP($H247,怪物强度修正!$A$2:$R$17,COLUMN(K247)-9,FALSE)</f>
        <v>12</v>
      </c>
      <c r="L247" s="2">
        <f>原始值!E247+VLOOKUP($H247,怪物强度修正!$A$2:$R$17,COLUMN(L247)-9,FALSE)</f>
        <v>22</v>
      </c>
      <c r="M247" s="2">
        <f t="shared" si="38"/>
        <v>12</v>
      </c>
      <c r="N247" s="2">
        <f t="shared" si="39"/>
        <v>22</v>
      </c>
      <c r="O247" s="2">
        <f>原始值!H247+VLOOKUP($H247,怪物强度修正!$A$2:$R$17,COLUMN(O247)-9,FALSE)</f>
        <v>0</v>
      </c>
      <c r="P247" s="2">
        <f>原始值!I247+VLOOKUP($H247,怪物强度修正!$A$2:$R$17,COLUMN(P247)-9,FALSE)</f>
        <v>0</v>
      </c>
      <c r="Q247" s="2">
        <f>原始值!J247+VLOOKUP($H247,怪物强度修正!$A$2:$R$17,COLUMN(Q247)-9,FALSE)</f>
        <v>4</v>
      </c>
      <c r="R247" s="2">
        <f>原始值!K247+VLOOKUP($H247,怪物强度修正!$A$2:$R$17,COLUMN(R247)-9,FALSE)</f>
        <v>4</v>
      </c>
      <c r="S247" s="2">
        <f>原始值!L247+VLOOKUP($H247,怪物强度修正!$A$2:$R$17,COLUMN(S247)-9,FALSE)</f>
        <v>8</v>
      </c>
      <c r="T247" s="2">
        <f>原始值!M247+VLOOKUP($H247,怪物强度修正!$A$2:$R$17,COLUMN(T247)-9,FALSE)</f>
        <v>8</v>
      </c>
      <c r="U247" s="2">
        <f>原始值!N247+VLOOKUP($H247,怪物强度修正!$A$2:$R$17,COLUMN(U247)-9,FALSE)</f>
        <v>495</v>
      </c>
      <c r="V247" s="2">
        <v>1</v>
      </c>
      <c r="W247" s="2">
        <f>原始值!P247+VLOOKUP($H247,怪物强度修正!$A$2:$R$17,COLUMN(W247)-9,FALSE)</f>
        <v>15</v>
      </c>
      <c r="X247" s="2">
        <f>原始值!Q247+VLOOKUP($H247,怪物强度修正!$A$2:$R$17,COLUMN(X247)-9,FALSE)</f>
        <v>15</v>
      </c>
      <c r="Y247" s="2">
        <f>原始值!R247+VLOOKUP($H247,怪物强度修正!$A$2:$R$17,COLUMN(Y247)-9,FALSE)</f>
        <v>75</v>
      </c>
      <c r="Z247" s="2">
        <f>原始值!S247+VLOOKUP($H247,怪物强度修正!$A$2:$R$17,COLUMN(Z247)-9,FALSE)</f>
        <v>300</v>
      </c>
      <c r="AA247" s="2">
        <f>原始值!T247+VLOOKUP($H247,怪物强度修正!$A$2:$R$17,COLUMN(AA247)-9,FALSE)</f>
        <v>50</v>
      </c>
    </row>
    <row r="248" spans="1:27" s="2" customFormat="1">
      <c r="A248" s="2" t="str">
        <f t="shared" si="34"/>
        <v>PhyType.NewNpcType_513</v>
      </c>
      <c r="B248" s="2" t="s">
        <v>137</v>
      </c>
      <c r="C248" s="2">
        <v>513</v>
      </c>
      <c r="D248" s="2">
        <v>513</v>
      </c>
      <c r="G248" s="2" t="str">
        <f t="shared" si="61"/>
        <v>沃玛战士精英</v>
      </c>
      <c r="H248" s="2" t="str">
        <f t="shared" si="62"/>
        <v>沃玛寺庙</v>
      </c>
      <c r="I248" s="2">
        <f t="shared" si="63"/>
        <v>779</v>
      </c>
      <c r="K248" s="2">
        <f>原始值!D248+VLOOKUP($H248,怪物强度修正!$A$2:$R$17,COLUMN(K248)-9,FALSE)</f>
        <v>19</v>
      </c>
      <c r="L248" s="2">
        <f>原始值!E248+VLOOKUP($H248,怪物强度修正!$A$2:$R$17,COLUMN(L248)-9,FALSE)</f>
        <v>40</v>
      </c>
      <c r="M248" s="2">
        <f t="shared" si="38"/>
        <v>19</v>
      </c>
      <c r="N248" s="2">
        <f t="shared" si="39"/>
        <v>40</v>
      </c>
      <c r="O248" s="2">
        <f>原始值!H248+VLOOKUP($H248,怪物强度修正!$A$2:$R$17,COLUMN(O248)-9,FALSE)</f>
        <v>0</v>
      </c>
      <c r="P248" s="2">
        <f>原始值!I248+VLOOKUP($H248,怪物强度修正!$A$2:$R$17,COLUMN(P248)-9,FALSE)</f>
        <v>0</v>
      </c>
      <c r="Q248" s="2">
        <f>原始值!J248+VLOOKUP($H248,怪物强度修正!$A$2:$R$17,COLUMN(Q248)-9,FALSE)</f>
        <v>4</v>
      </c>
      <c r="R248" s="2">
        <f>原始值!K248+VLOOKUP($H248,怪物强度修正!$A$2:$R$17,COLUMN(R248)-9,FALSE)</f>
        <v>4</v>
      </c>
      <c r="S248" s="2">
        <f>原始值!L248+VLOOKUP($H248,怪物强度修正!$A$2:$R$17,COLUMN(S248)-9,FALSE)</f>
        <v>8</v>
      </c>
      <c r="T248" s="2">
        <f>原始值!M248+VLOOKUP($H248,怪物强度修正!$A$2:$R$17,COLUMN(T248)-9,FALSE)</f>
        <v>8</v>
      </c>
      <c r="U248" s="2">
        <f>原始值!N248+VLOOKUP($H248,怪物强度修正!$A$2:$R$17,COLUMN(U248)-9,FALSE)</f>
        <v>795</v>
      </c>
      <c r="V248" s="2">
        <v>1</v>
      </c>
      <c r="W248" s="2">
        <f>原始值!P248+VLOOKUP($H248,怪物强度修正!$A$2:$R$17,COLUMN(W248)-9,FALSE)</f>
        <v>13</v>
      </c>
      <c r="X248" s="2">
        <f>原始值!Q248+VLOOKUP($H248,怪物强度修正!$A$2:$R$17,COLUMN(X248)-9,FALSE)</f>
        <v>15</v>
      </c>
      <c r="Y248" s="2">
        <f>原始值!R248+VLOOKUP($H248,怪物强度修正!$A$2:$R$17,COLUMN(Y248)-9,FALSE)</f>
        <v>75</v>
      </c>
      <c r="Z248" s="2">
        <f>原始值!S248+VLOOKUP($H248,怪物强度修正!$A$2:$R$17,COLUMN(Z248)-9,FALSE)</f>
        <v>300</v>
      </c>
      <c r="AA248" s="2">
        <f>原始值!T248+VLOOKUP($H248,怪物强度修正!$A$2:$R$17,COLUMN(AA248)-9,FALSE)</f>
        <v>50</v>
      </c>
    </row>
    <row r="249" spans="1:27" s="2" customFormat="1">
      <c r="A249" s="2" t="str">
        <f t="shared" si="34"/>
        <v>PhyType.NewNpcType_514</v>
      </c>
      <c r="B249" s="2" t="s">
        <v>137</v>
      </c>
      <c r="C249" s="2">
        <v>514</v>
      </c>
      <c r="D249" s="2">
        <v>514</v>
      </c>
      <c r="G249" s="2" t="str">
        <f t="shared" si="61"/>
        <v>沃玛勇士精英</v>
      </c>
      <c r="H249" s="2" t="str">
        <f t="shared" si="62"/>
        <v>沃玛寺庙</v>
      </c>
      <c r="I249" s="2">
        <f t="shared" si="63"/>
        <v>839</v>
      </c>
      <c r="K249" s="2">
        <f>原始值!D249+VLOOKUP($H249,怪物强度修正!$A$2:$R$17,COLUMN(K249)-9,FALSE)</f>
        <v>22</v>
      </c>
      <c r="L249" s="2">
        <f>原始值!E249+VLOOKUP($H249,怪物强度修正!$A$2:$R$17,COLUMN(L249)-9,FALSE)</f>
        <v>40</v>
      </c>
      <c r="M249" s="2">
        <f t="shared" si="38"/>
        <v>22</v>
      </c>
      <c r="N249" s="2">
        <f t="shared" si="39"/>
        <v>40</v>
      </c>
      <c r="O249" s="2">
        <f>原始值!H249+VLOOKUP($H249,怪物强度修正!$A$2:$R$17,COLUMN(O249)-9,FALSE)</f>
        <v>0</v>
      </c>
      <c r="P249" s="2">
        <f>原始值!I249+VLOOKUP($H249,怪物强度修正!$A$2:$R$17,COLUMN(P249)-9,FALSE)</f>
        <v>0</v>
      </c>
      <c r="Q249" s="2">
        <f>原始值!J249+VLOOKUP($H249,怪物强度修正!$A$2:$R$17,COLUMN(Q249)-9,FALSE)</f>
        <v>4</v>
      </c>
      <c r="R249" s="2">
        <f>原始值!K249+VLOOKUP($H249,怪物强度修正!$A$2:$R$17,COLUMN(R249)-9,FALSE)</f>
        <v>4</v>
      </c>
      <c r="S249" s="2">
        <f>原始值!L249+VLOOKUP($H249,怪物强度修正!$A$2:$R$17,COLUMN(S249)-9,FALSE)</f>
        <v>8</v>
      </c>
      <c r="T249" s="2">
        <f>原始值!M249+VLOOKUP($H249,怪物强度修正!$A$2:$R$17,COLUMN(T249)-9,FALSE)</f>
        <v>8</v>
      </c>
      <c r="U249" s="2">
        <f>原始值!N249+VLOOKUP($H249,怪物强度修正!$A$2:$R$17,COLUMN(U249)-9,FALSE)</f>
        <v>855</v>
      </c>
      <c r="V249" s="2">
        <v>1</v>
      </c>
      <c r="W249" s="2">
        <f>原始值!P249+VLOOKUP($H249,怪物强度修正!$A$2:$R$17,COLUMN(W249)-9,FALSE)</f>
        <v>13</v>
      </c>
      <c r="X249" s="2">
        <f>原始值!Q249+VLOOKUP($H249,怪物强度修正!$A$2:$R$17,COLUMN(X249)-9,FALSE)</f>
        <v>15</v>
      </c>
      <c r="Y249" s="2">
        <f>原始值!R249+VLOOKUP($H249,怪物强度修正!$A$2:$R$17,COLUMN(Y249)-9,FALSE)</f>
        <v>75</v>
      </c>
      <c r="Z249" s="2">
        <f>原始值!S249+VLOOKUP($H249,怪物强度修正!$A$2:$R$17,COLUMN(Z249)-9,FALSE)</f>
        <v>300</v>
      </c>
      <c r="AA249" s="2">
        <f>原始值!T249+VLOOKUP($H249,怪物强度修正!$A$2:$R$17,COLUMN(AA249)-9,FALSE)</f>
        <v>50</v>
      </c>
    </row>
    <row r="250" spans="1:27" s="2" customFormat="1">
      <c r="A250" s="2" t="str">
        <f t="shared" si="34"/>
        <v>PhyType.NewNpcType_515</v>
      </c>
      <c r="B250" s="2" t="s">
        <v>137</v>
      </c>
      <c r="C250" s="2">
        <v>515</v>
      </c>
      <c r="D250" s="2">
        <v>515</v>
      </c>
      <c r="G250" s="2" t="str">
        <f t="shared" si="61"/>
        <v>沃玛战将精英</v>
      </c>
      <c r="H250" s="2" t="str">
        <f t="shared" si="62"/>
        <v>沃玛寺庙</v>
      </c>
      <c r="I250" s="2">
        <f t="shared" si="63"/>
        <v>839</v>
      </c>
      <c r="K250" s="2">
        <f>原始值!D250+VLOOKUP($H250,怪物强度修正!$A$2:$R$17,COLUMN(K250)-9,FALSE)</f>
        <v>21</v>
      </c>
      <c r="L250" s="2">
        <f>原始值!E250+VLOOKUP($H250,怪物强度修正!$A$2:$R$17,COLUMN(L250)-9,FALSE)</f>
        <v>42</v>
      </c>
      <c r="M250" s="2">
        <f t="shared" si="38"/>
        <v>21</v>
      </c>
      <c r="N250" s="2">
        <f t="shared" si="39"/>
        <v>42</v>
      </c>
      <c r="O250" s="2">
        <f>原始值!H250+VLOOKUP($H250,怪物强度修正!$A$2:$R$17,COLUMN(O250)-9,FALSE)</f>
        <v>0</v>
      </c>
      <c r="P250" s="2">
        <f>原始值!I250+VLOOKUP($H250,怪物强度修正!$A$2:$R$17,COLUMN(P250)-9,FALSE)</f>
        <v>0</v>
      </c>
      <c r="Q250" s="2">
        <f>原始值!J250+VLOOKUP($H250,怪物强度修正!$A$2:$R$17,COLUMN(Q250)-9,FALSE)</f>
        <v>4</v>
      </c>
      <c r="R250" s="2">
        <f>原始值!K250+VLOOKUP($H250,怪物强度修正!$A$2:$R$17,COLUMN(R250)-9,FALSE)</f>
        <v>4</v>
      </c>
      <c r="S250" s="2">
        <f>原始值!L250+VLOOKUP($H250,怪物强度修正!$A$2:$R$17,COLUMN(S250)-9,FALSE)</f>
        <v>8</v>
      </c>
      <c r="T250" s="2">
        <f>原始值!M250+VLOOKUP($H250,怪物强度修正!$A$2:$R$17,COLUMN(T250)-9,FALSE)</f>
        <v>8</v>
      </c>
      <c r="U250" s="2">
        <f>原始值!N250+VLOOKUP($H250,怪物强度修正!$A$2:$R$17,COLUMN(U250)-9,FALSE)</f>
        <v>855</v>
      </c>
      <c r="V250" s="2">
        <v>1</v>
      </c>
      <c r="W250" s="2">
        <f>原始值!P250+VLOOKUP($H250,怪物强度修正!$A$2:$R$17,COLUMN(W250)-9,FALSE)</f>
        <v>13</v>
      </c>
      <c r="X250" s="2">
        <f>原始值!Q250+VLOOKUP($H250,怪物强度修正!$A$2:$R$17,COLUMN(X250)-9,FALSE)</f>
        <v>15</v>
      </c>
      <c r="Y250" s="2">
        <f>原始值!R250+VLOOKUP($H250,怪物强度修正!$A$2:$R$17,COLUMN(Y250)-9,FALSE)</f>
        <v>75</v>
      </c>
      <c r="Z250" s="2">
        <f>原始值!S250+VLOOKUP($H250,怪物强度修正!$A$2:$R$17,COLUMN(Z250)-9,FALSE)</f>
        <v>300</v>
      </c>
      <c r="AA250" s="2">
        <f>原始值!T250+VLOOKUP($H250,怪物强度修正!$A$2:$R$17,COLUMN(AA250)-9,FALSE)</f>
        <v>50</v>
      </c>
    </row>
    <row r="251" spans="1:27" s="2" customFormat="1">
      <c r="A251" s="2" t="str">
        <f t="shared" si="34"/>
        <v>PhyType.NewNpcType_516</v>
      </c>
      <c r="B251" s="2" t="s">
        <v>137</v>
      </c>
      <c r="C251" s="2">
        <v>516</v>
      </c>
      <c r="D251" s="2">
        <v>516</v>
      </c>
      <c r="G251" s="2" t="str">
        <f t="shared" si="61"/>
        <v>火焰沃玛精英</v>
      </c>
      <c r="H251" s="2" t="str">
        <f t="shared" si="62"/>
        <v>沃玛寺庙</v>
      </c>
      <c r="I251" s="2">
        <f t="shared" si="63"/>
        <v>869</v>
      </c>
      <c r="K251" s="2">
        <f>原始值!D251+VLOOKUP($H251,怪物强度修正!$A$2:$R$17,COLUMN(K251)-9,FALSE)</f>
        <v>19</v>
      </c>
      <c r="L251" s="2">
        <f>原始值!E251+VLOOKUP($H251,怪物强度修正!$A$2:$R$17,COLUMN(L251)-9,FALSE)</f>
        <v>37</v>
      </c>
      <c r="M251" s="2">
        <f t="shared" si="38"/>
        <v>19</v>
      </c>
      <c r="N251" s="2">
        <f t="shared" si="39"/>
        <v>37</v>
      </c>
      <c r="O251" s="2">
        <f>原始值!H251+VLOOKUP($H251,怪物强度修正!$A$2:$R$17,COLUMN(O251)-9,FALSE)</f>
        <v>0</v>
      </c>
      <c r="P251" s="2">
        <f>原始值!I251+VLOOKUP($H251,怪物强度修正!$A$2:$R$17,COLUMN(P251)-9,FALSE)</f>
        <v>0</v>
      </c>
      <c r="Q251" s="2">
        <f>原始值!J251+VLOOKUP($H251,怪物强度修正!$A$2:$R$17,COLUMN(Q251)-9,FALSE)</f>
        <v>0</v>
      </c>
      <c r="R251" s="2">
        <f>原始值!K251+VLOOKUP($H251,怪物强度修正!$A$2:$R$17,COLUMN(R251)-9,FALSE)</f>
        <v>0</v>
      </c>
      <c r="S251" s="2">
        <f>原始值!L251+VLOOKUP($H251,怪物强度修正!$A$2:$R$17,COLUMN(S251)-9,FALSE)</f>
        <v>5</v>
      </c>
      <c r="T251" s="2">
        <f>原始值!M251+VLOOKUP($H251,怪物强度修正!$A$2:$R$17,COLUMN(T251)-9,FALSE)</f>
        <v>5</v>
      </c>
      <c r="U251" s="2">
        <f>原始值!N251+VLOOKUP($H251,怪物强度修正!$A$2:$R$17,COLUMN(U251)-9,FALSE)</f>
        <v>1020</v>
      </c>
      <c r="V251" s="2">
        <v>1</v>
      </c>
      <c r="W251" s="2">
        <f>原始值!P251+VLOOKUP($H251,怪物强度修正!$A$2:$R$17,COLUMN(W251)-9,FALSE)</f>
        <v>20</v>
      </c>
      <c r="X251" s="2">
        <f>原始值!Q251+VLOOKUP($H251,怪物强度修正!$A$2:$R$17,COLUMN(X251)-9,FALSE)</f>
        <v>20</v>
      </c>
      <c r="Y251" s="2">
        <f>原始值!R251+VLOOKUP($H251,怪物强度修正!$A$2:$R$17,COLUMN(Y251)-9,FALSE)</f>
        <v>75</v>
      </c>
      <c r="Z251" s="2">
        <f>原始值!S251+VLOOKUP($H251,怪物强度修正!$A$2:$R$17,COLUMN(Z251)-9,FALSE)</f>
        <v>300</v>
      </c>
      <c r="AA251" s="2">
        <f>原始值!T251+VLOOKUP($H251,怪物强度修正!$A$2:$R$17,COLUMN(AA251)-9,FALSE)</f>
        <v>50</v>
      </c>
    </row>
    <row r="252" spans="1:27" s="2" customFormat="1">
      <c r="A252" s="2" t="str">
        <f t="shared" si="34"/>
        <v>PhyType.NewNpcType_517</v>
      </c>
      <c r="B252" s="2" t="s">
        <v>137</v>
      </c>
      <c r="C252" s="2">
        <v>517</v>
      </c>
      <c r="D252" s="2">
        <v>517</v>
      </c>
      <c r="G252" s="2" t="str">
        <f t="shared" si="61"/>
        <v>盔甲虫精英</v>
      </c>
      <c r="H252" s="2" t="str">
        <f t="shared" si="62"/>
        <v>盟重</v>
      </c>
      <c r="I252" s="2">
        <f t="shared" si="63"/>
        <v>110</v>
      </c>
      <c r="K252" s="2">
        <f>原始值!D252+VLOOKUP($H252,怪物强度修正!$A$2:$R$17,COLUMN(K252)-9,FALSE)</f>
        <v>6</v>
      </c>
      <c r="L252" s="2">
        <f>原始值!E252+VLOOKUP($H252,怪物强度修正!$A$2:$R$17,COLUMN(L252)-9,FALSE)</f>
        <v>15</v>
      </c>
      <c r="M252" s="2">
        <f t="shared" si="38"/>
        <v>6</v>
      </c>
      <c r="N252" s="2">
        <f t="shared" si="39"/>
        <v>15</v>
      </c>
      <c r="O252" s="2">
        <f>原始值!H252+VLOOKUP($H252,怪物强度修正!$A$2:$R$17,COLUMN(O252)-9,FALSE)</f>
        <v>0</v>
      </c>
      <c r="P252" s="2">
        <f>原始值!I252+VLOOKUP($H252,怪物强度修正!$A$2:$R$17,COLUMN(P252)-9,FALSE)</f>
        <v>0</v>
      </c>
      <c r="Q252" s="2">
        <f>原始值!J252+VLOOKUP($H252,怪物强度修正!$A$2:$R$17,COLUMN(Q252)-9,FALSE)</f>
        <v>0</v>
      </c>
      <c r="R252" s="2">
        <f>原始值!K252+VLOOKUP($H252,怪物强度修正!$A$2:$R$17,COLUMN(R252)-9,FALSE)</f>
        <v>0</v>
      </c>
      <c r="S252" s="2">
        <f>原始值!L252+VLOOKUP($H252,怪物强度修正!$A$2:$R$17,COLUMN(S252)-9,FALSE)</f>
        <v>5</v>
      </c>
      <c r="T252" s="2">
        <f>原始值!M252+VLOOKUP($H252,怪物强度修正!$A$2:$R$17,COLUMN(T252)-9,FALSE)</f>
        <v>5</v>
      </c>
      <c r="U252" s="2">
        <f>原始值!N252+VLOOKUP($H252,怪物强度修正!$A$2:$R$17,COLUMN(U252)-9,FALSE)</f>
        <v>150</v>
      </c>
      <c r="V252" s="2">
        <v>1</v>
      </c>
      <c r="W252" s="2">
        <f>原始值!P252+VLOOKUP($H252,怪物强度修正!$A$2:$R$17,COLUMN(W252)-9,FALSE)</f>
        <v>7</v>
      </c>
      <c r="X252" s="2">
        <f>原始值!Q252+VLOOKUP($H252,怪物强度修正!$A$2:$R$17,COLUMN(X252)-9,FALSE)</f>
        <v>12</v>
      </c>
      <c r="Y252" s="2">
        <f>原始值!R252+VLOOKUP($H252,怪物强度修正!$A$2:$R$17,COLUMN(Y252)-9,FALSE)</f>
        <v>75</v>
      </c>
      <c r="Z252" s="2">
        <f>原始值!S252+VLOOKUP($H252,怪物强度修正!$A$2:$R$17,COLUMN(Z252)-9,FALSE)</f>
        <v>300</v>
      </c>
      <c r="AA252" s="2">
        <f>原始值!T252+VLOOKUP($H252,怪物强度修正!$A$2:$R$17,COLUMN(AA252)-9,FALSE)</f>
        <v>50</v>
      </c>
    </row>
    <row r="253" spans="1:27" s="2" customFormat="1">
      <c r="A253" s="2" t="str">
        <f t="shared" ref="A253" si="64">"PhyType.NewNpcType_"&amp;D253</f>
        <v>PhyType.NewNpcType_538</v>
      </c>
      <c r="B253" s="2" t="s">
        <v>137</v>
      </c>
      <c r="C253" s="2">
        <v>538</v>
      </c>
      <c r="D253" s="2">
        <v>538</v>
      </c>
      <c r="G253" s="2" t="str">
        <f t="shared" si="61"/>
        <v>熊精英</v>
      </c>
      <c r="H253" s="2" t="str">
        <f t="shared" si="62"/>
        <v>盟重</v>
      </c>
      <c r="I253" s="2">
        <f t="shared" si="63"/>
        <v>104</v>
      </c>
      <c r="K253" s="2">
        <f>原始值!D253+VLOOKUP($H253,怪物强度修正!$A$2:$R$17,COLUMN(K253)-9,FALSE)</f>
        <v>8</v>
      </c>
      <c r="L253" s="2">
        <f>原始值!E253+VLOOKUP($H253,怪物强度修正!$A$2:$R$17,COLUMN(L253)-9,FALSE)</f>
        <v>12</v>
      </c>
      <c r="M253" s="2">
        <f t="shared" si="38"/>
        <v>8</v>
      </c>
      <c r="N253" s="2">
        <f t="shared" si="39"/>
        <v>12</v>
      </c>
      <c r="O253" s="2">
        <f>原始值!H253+VLOOKUP($H253,怪物强度修正!$A$2:$R$17,COLUMN(O253)-9,FALSE)</f>
        <v>0</v>
      </c>
      <c r="P253" s="2">
        <f>原始值!I253+VLOOKUP($H253,怪物强度修正!$A$2:$R$17,COLUMN(P253)-9,FALSE)</f>
        <v>0</v>
      </c>
      <c r="Q253" s="2">
        <f>原始值!J253+VLOOKUP($H253,怪物强度修正!$A$2:$R$17,COLUMN(Q253)-9,FALSE)</f>
        <v>0</v>
      </c>
      <c r="R253" s="2">
        <f>原始值!K253+VLOOKUP($H253,怪物强度修正!$A$2:$R$17,COLUMN(R253)-9,FALSE)</f>
        <v>0</v>
      </c>
      <c r="S253" s="2">
        <f>原始值!L253+VLOOKUP($H253,怪物强度修正!$A$2:$R$17,COLUMN(S253)-9,FALSE)</f>
        <v>5</v>
      </c>
      <c r="T253" s="2">
        <f>原始值!M253+VLOOKUP($H253,怪物强度修正!$A$2:$R$17,COLUMN(T253)-9,FALSE)</f>
        <v>5</v>
      </c>
      <c r="U253" s="2">
        <f>原始值!N253+VLOOKUP($H253,怪物强度修正!$A$2:$R$17,COLUMN(U253)-9,FALSE)</f>
        <v>138</v>
      </c>
      <c r="V253" s="2">
        <v>1</v>
      </c>
      <c r="W253" s="2">
        <f>原始值!P253+VLOOKUP($H253,怪物强度修正!$A$2:$R$17,COLUMN(W253)-9,FALSE)</f>
        <v>10</v>
      </c>
      <c r="X253" s="2">
        <f>原始值!Q253+VLOOKUP($H253,怪物强度修正!$A$2:$R$17,COLUMN(X253)-9,FALSE)</f>
        <v>12</v>
      </c>
      <c r="Y253" s="2">
        <f>原始值!R253+VLOOKUP($H253,怪物强度修正!$A$2:$R$17,COLUMN(Y253)-9,FALSE)</f>
        <v>75</v>
      </c>
      <c r="Z253" s="2">
        <f>原始值!S253+VLOOKUP($H253,怪物强度修正!$A$2:$R$17,COLUMN(Z253)-9,FALSE)</f>
        <v>300</v>
      </c>
      <c r="AA253" s="2">
        <f>原始值!T253+VLOOKUP($H253,怪物强度修正!$A$2:$R$17,COLUMN(AA253)-9,FALSE)</f>
        <v>50</v>
      </c>
    </row>
    <row r="254" spans="1:27" s="2" customFormat="1">
      <c r="A254" s="2" t="str">
        <f t="shared" si="34"/>
        <v>PhyType.NewNpcType_518</v>
      </c>
      <c r="B254" s="2" t="s">
        <v>137</v>
      </c>
      <c r="C254" s="2">
        <v>518</v>
      </c>
      <c r="D254" s="2">
        <v>518</v>
      </c>
      <c r="G254" s="2" t="str">
        <f t="shared" si="61"/>
        <v>狼精英</v>
      </c>
      <c r="H254" s="2" t="str">
        <f t="shared" si="62"/>
        <v>盟重</v>
      </c>
      <c r="I254" s="2">
        <f t="shared" si="63"/>
        <v>104</v>
      </c>
      <c r="K254" s="2">
        <f>原始值!D254+VLOOKUP($H254,怪物强度修正!$A$2:$R$17,COLUMN(K254)-9,FALSE)</f>
        <v>9</v>
      </c>
      <c r="L254" s="2">
        <f>原始值!E254+VLOOKUP($H254,怪物强度修正!$A$2:$R$17,COLUMN(L254)-9,FALSE)</f>
        <v>14</v>
      </c>
      <c r="M254" s="2">
        <f t="shared" si="38"/>
        <v>9</v>
      </c>
      <c r="N254" s="2">
        <f t="shared" si="39"/>
        <v>14</v>
      </c>
      <c r="O254" s="2">
        <f>原始值!H254+VLOOKUP($H254,怪物强度修正!$A$2:$R$17,COLUMN(O254)-9,FALSE)</f>
        <v>0</v>
      </c>
      <c r="P254" s="2">
        <f>原始值!I254+VLOOKUP($H254,怪物强度修正!$A$2:$R$17,COLUMN(P254)-9,FALSE)</f>
        <v>0</v>
      </c>
      <c r="Q254" s="2">
        <f>原始值!J254+VLOOKUP($H254,怪物强度修正!$A$2:$R$17,COLUMN(Q254)-9,FALSE)</f>
        <v>0</v>
      </c>
      <c r="R254" s="2">
        <f>原始值!K254+VLOOKUP($H254,怪物强度修正!$A$2:$R$17,COLUMN(R254)-9,FALSE)</f>
        <v>0</v>
      </c>
      <c r="S254" s="2">
        <f>原始值!L254+VLOOKUP($H254,怪物强度修正!$A$2:$R$17,COLUMN(S254)-9,FALSE)</f>
        <v>5</v>
      </c>
      <c r="T254" s="2">
        <f>原始值!M254+VLOOKUP($H254,怪物强度修正!$A$2:$R$17,COLUMN(T254)-9,FALSE)</f>
        <v>5</v>
      </c>
      <c r="U254" s="2">
        <f>原始值!N254+VLOOKUP($H254,怪物强度修正!$A$2:$R$17,COLUMN(U254)-9,FALSE)</f>
        <v>111</v>
      </c>
      <c r="V254" s="2">
        <v>1</v>
      </c>
      <c r="W254" s="2">
        <f>原始值!P254+VLOOKUP($H254,怪物强度修正!$A$2:$R$17,COLUMN(W254)-9,FALSE)</f>
        <v>10</v>
      </c>
      <c r="X254" s="2">
        <f>原始值!Q254+VLOOKUP($H254,怪物强度修正!$A$2:$R$17,COLUMN(X254)-9,FALSE)</f>
        <v>13</v>
      </c>
      <c r="Y254" s="2">
        <f>原始值!R254+VLOOKUP($H254,怪物强度修正!$A$2:$R$17,COLUMN(Y254)-9,FALSE)</f>
        <v>75</v>
      </c>
      <c r="Z254" s="2">
        <f>原始值!S254+VLOOKUP($H254,怪物强度修正!$A$2:$R$17,COLUMN(Z254)-9,FALSE)</f>
        <v>300</v>
      </c>
      <c r="AA254" s="2">
        <f>原始值!T254+VLOOKUP($H254,怪物强度修正!$A$2:$R$17,COLUMN(AA254)-9,FALSE)</f>
        <v>50</v>
      </c>
    </row>
    <row r="255" spans="1:27" s="2" customFormat="1">
      <c r="A255" s="2" t="str">
        <f t="shared" si="34"/>
        <v>PhyType.NewNpcType_519</v>
      </c>
      <c r="B255" s="2" t="s">
        <v>137</v>
      </c>
      <c r="C255" s="2">
        <v>519</v>
      </c>
      <c r="D255" s="2">
        <v>519</v>
      </c>
      <c r="G255" s="2" t="str">
        <f t="shared" si="61"/>
        <v>多角虫精英</v>
      </c>
      <c r="H255" s="2" t="str">
        <f t="shared" si="62"/>
        <v>盟重</v>
      </c>
      <c r="I255" s="2">
        <f t="shared" si="63"/>
        <v>95</v>
      </c>
      <c r="K255" s="2">
        <f>原始值!D255+VLOOKUP($H255,怪物强度修正!$A$2:$R$17,COLUMN(K255)-9,FALSE)</f>
        <v>11</v>
      </c>
      <c r="L255" s="2">
        <f>原始值!E255+VLOOKUP($H255,怪物强度修正!$A$2:$R$17,COLUMN(L255)-9,FALSE)</f>
        <v>12</v>
      </c>
      <c r="M255" s="2">
        <f t="shared" si="38"/>
        <v>11</v>
      </c>
      <c r="N255" s="2">
        <f t="shared" si="39"/>
        <v>12</v>
      </c>
      <c r="O255" s="2">
        <f>原始值!H255+VLOOKUP($H255,怪物强度修正!$A$2:$R$17,COLUMN(O255)-9,FALSE)</f>
        <v>0</v>
      </c>
      <c r="P255" s="2">
        <f>原始值!I255+VLOOKUP($H255,怪物强度修正!$A$2:$R$17,COLUMN(P255)-9,FALSE)</f>
        <v>0</v>
      </c>
      <c r="Q255" s="2">
        <f>原始值!J255+VLOOKUP($H255,怪物强度修正!$A$2:$R$17,COLUMN(Q255)-9,FALSE)</f>
        <v>0</v>
      </c>
      <c r="R255" s="2">
        <f>原始值!K255+VLOOKUP($H255,怪物强度修正!$A$2:$R$17,COLUMN(R255)-9,FALSE)</f>
        <v>0</v>
      </c>
      <c r="S255" s="2">
        <f>原始值!L255+VLOOKUP($H255,怪物强度修正!$A$2:$R$17,COLUMN(S255)-9,FALSE)</f>
        <v>5</v>
      </c>
      <c r="T255" s="2">
        <f>原始值!M255+VLOOKUP($H255,怪物强度修正!$A$2:$R$17,COLUMN(T255)-9,FALSE)</f>
        <v>5</v>
      </c>
      <c r="U255" s="2">
        <f>原始值!N255+VLOOKUP($H255,怪物强度修正!$A$2:$R$17,COLUMN(U255)-9,FALSE)</f>
        <v>156</v>
      </c>
      <c r="V255" s="2">
        <v>1</v>
      </c>
      <c r="W255" s="2">
        <f>原始值!P255+VLOOKUP($H255,怪物强度修正!$A$2:$R$17,COLUMN(W255)-9,FALSE)</f>
        <v>10</v>
      </c>
      <c r="X255" s="2">
        <f>原始值!Q255+VLOOKUP($H255,怪物强度修正!$A$2:$R$17,COLUMN(X255)-9,FALSE)</f>
        <v>13</v>
      </c>
      <c r="Y255" s="2">
        <f>原始值!R255+VLOOKUP($H255,怪物强度修正!$A$2:$R$17,COLUMN(Y255)-9,FALSE)</f>
        <v>75</v>
      </c>
      <c r="Z255" s="2">
        <f>原始值!S255+VLOOKUP($H255,怪物强度修正!$A$2:$R$17,COLUMN(Z255)-9,FALSE)</f>
        <v>300</v>
      </c>
      <c r="AA255" s="2">
        <f>原始值!T255+VLOOKUP($H255,怪物强度修正!$A$2:$R$17,COLUMN(AA255)-9,FALSE)</f>
        <v>50</v>
      </c>
    </row>
    <row r="256" spans="1:27" s="2" customFormat="1">
      <c r="A256" s="2" t="str">
        <f t="shared" si="34"/>
        <v>PhyType.NewNpcType_520</v>
      </c>
      <c r="B256" s="2" t="s">
        <v>137</v>
      </c>
      <c r="C256" s="2">
        <v>520</v>
      </c>
      <c r="D256" s="2">
        <v>520</v>
      </c>
      <c r="G256" s="2" t="str">
        <f t="shared" si="61"/>
        <v>蜈蚣精英</v>
      </c>
      <c r="H256" s="2" t="str">
        <f t="shared" si="62"/>
        <v>死亡峡谷</v>
      </c>
      <c r="I256" s="2">
        <f t="shared" si="63"/>
        <v>689</v>
      </c>
      <c r="K256" s="2">
        <f>原始值!D256+VLOOKUP($H256,怪物强度修正!$A$2:$R$17,COLUMN(K256)-9,FALSE)</f>
        <v>21</v>
      </c>
      <c r="L256" s="2">
        <f>原始值!E256+VLOOKUP($H256,怪物强度修正!$A$2:$R$17,COLUMN(L256)-9,FALSE)</f>
        <v>30</v>
      </c>
      <c r="M256" s="2">
        <f t="shared" si="38"/>
        <v>21</v>
      </c>
      <c r="N256" s="2">
        <f t="shared" si="39"/>
        <v>30</v>
      </c>
      <c r="O256" s="2">
        <f>原始值!H256+VLOOKUP($H256,怪物强度修正!$A$2:$R$17,COLUMN(O256)-9,FALSE)</f>
        <v>0</v>
      </c>
      <c r="P256" s="2">
        <f>原始值!I256+VLOOKUP($H256,怪物强度修正!$A$2:$R$17,COLUMN(P256)-9,FALSE)</f>
        <v>0</v>
      </c>
      <c r="Q256" s="2">
        <f>原始值!J256+VLOOKUP($H256,怪物强度修正!$A$2:$R$17,COLUMN(Q256)-9,FALSE)</f>
        <v>1</v>
      </c>
      <c r="R256" s="2">
        <f>原始值!K256+VLOOKUP($H256,怪物强度修正!$A$2:$R$17,COLUMN(R256)-9,FALSE)</f>
        <v>1</v>
      </c>
      <c r="S256" s="2">
        <f>原始值!L256+VLOOKUP($H256,怪物强度修正!$A$2:$R$17,COLUMN(S256)-9,FALSE)</f>
        <v>15</v>
      </c>
      <c r="T256" s="2">
        <f>原始值!M256+VLOOKUP($H256,怪物强度修正!$A$2:$R$17,COLUMN(T256)-9,FALSE)</f>
        <v>15</v>
      </c>
      <c r="U256" s="2">
        <f>原始值!N256+VLOOKUP($H256,怪物强度修正!$A$2:$R$17,COLUMN(U256)-9,FALSE)</f>
        <v>690</v>
      </c>
      <c r="V256" s="2">
        <v>1</v>
      </c>
      <c r="W256" s="2">
        <f>原始值!P256+VLOOKUP($H256,怪物强度修正!$A$2:$R$17,COLUMN(W256)-9,FALSE)</f>
        <v>13</v>
      </c>
      <c r="X256" s="2">
        <f>原始值!Q256+VLOOKUP($H256,怪物强度修正!$A$2:$R$17,COLUMN(X256)-9,FALSE)</f>
        <v>15</v>
      </c>
      <c r="Y256" s="2">
        <f>原始值!R256+VLOOKUP($H256,怪物强度修正!$A$2:$R$17,COLUMN(Y256)-9,FALSE)</f>
        <v>75</v>
      </c>
      <c r="Z256" s="2">
        <f>原始值!S256+VLOOKUP($H256,怪物强度修正!$A$2:$R$17,COLUMN(Z256)-9,FALSE)</f>
        <v>300</v>
      </c>
      <c r="AA256" s="2">
        <f>原始值!T256+VLOOKUP($H256,怪物强度修正!$A$2:$R$17,COLUMN(AA256)-9,FALSE)</f>
        <v>50</v>
      </c>
    </row>
    <row r="257" spans="1:27" s="2" customFormat="1">
      <c r="A257" s="2" t="str">
        <f t="shared" si="34"/>
        <v>PhyType.NewNpcType_521</v>
      </c>
      <c r="B257" s="2" t="s">
        <v>137</v>
      </c>
      <c r="C257" s="2">
        <v>521</v>
      </c>
      <c r="D257" s="2">
        <v>521</v>
      </c>
      <c r="G257" s="2" t="str">
        <f t="shared" si="61"/>
        <v>巨型蠕虫精英</v>
      </c>
      <c r="H257" s="2" t="str">
        <f t="shared" si="62"/>
        <v>死亡峡谷</v>
      </c>
      <c r="I257" s="2">
        <f t="shared" si="63"/>
        <v>689</v>
      </c>
      <c r="K257" s="2">
        <f>原始值!D257+VLOOKUP($H257,怪物强度修正!$A$2:$R$17,COLUMN(K257)-9,FALSE)</f>
        <v>26</v>
      </c>
      <c r="L257" s="2">
        <f>原始值!E257+VLOOKUP($H257,怪物强度修正!$A$2:$R$17,COLUMN(L257)-9,FALSE)</f>
        <v>30</v>
      </c>
      <c r="M257" s="2">
        <f t="shared" si="38"/>
        <v>26</v>
      </c>
      <c r="N257" s="2">
        <f t="shared" si="39"/>
        <v>30</v>
      </c>
      <c r="O257" s="2">
        <f>原始值!H257+VLOOKUP($H257,怪物强度修正!$A$2:$R$17,COLUMN(O257)-9,FALSE)</f>
        <v>0</v>
      </c>
      <c r="P257" s="2">
        <f>原始值!I257+VLOOKUP($H257,怪物强度修正!$A$2:$R$17,COLUMN(P257)-9,FALSE)</f>
        <v>0</v>
      </c>
      <c r="Q257" s="2">
        <f>原始值!J257+VLOOKUP($H257,怪物强度修正!$A$2:$R$17,COLUMN(Q257)-9,FALSE)</f>
        <v>5</v>
      </c>
      <c r="R257" s="2">
        <f>原始值!K257+VLOOKUP($H257,怪物强度修正!$A$2:$R$17,COLUMN(R257)-9,FALSE)</f>
        <v>5</v>
      </c>
      <c r="S257" s="2">
        <f>原始值!L257+VLOOKUP($H257,怪物强度修正!$A$2:$R$17,COLUMN(S257)-9,FALSE)</f>
        <v>12</v>
      </c>
      <c r="T257" s="2">
        <f>原始值!M257+VLOOKUP($H257,怪物强度修正!$A$2:$R$17,COLUMN(T257)-9,FALSE)</f>
        <v>12</v>
      </c>
      <c r="U257" s="2">
        <f>原始值!N257+VLOOKUP($H257,怪物强度修正!$A$2:$R$17,COLUMN(U257)-9,FALSE)</f>
        <v>600</v>
      </c>
      <c r="V257" s="2">
        <v>1</v>
      </c>
      <c r="W257" s="2">
        <f>原始值!P257+VLOOKUP($H257,怪物强度修正!$A$2:$R$17,COLUMN(W257)-9,FALSE)</f>
        <v>13</v>
      </c>
      <c r="X257" s="2">
        <f>原始值!Q257+VLOOKUP($H257,怪物强度修正!$A$2:$R$17,COLUMN(X257)-9,FALSE)</f>
        <v>15</v>
      </c>
      <c r="Y257" s="2">
        <f>原始值!R257+VLOOKUP($H257,怪物强度修正!$A$2:$R$17,COLUMN(Y257)-9,FALSE)</f>
        <v>75</v>
      </c>
      <c r="Z257" s="2">
        <f>原始值!S257+VLOOKUP($H257,怪物强度修正!$A$2:$R$17,COLUMN(Z257)-9,FALSE)</f>
        <v>300</v>
      </c>
      <c r="AA257" s="2">
        <f>原始值!T257+VLOOKUP($H257,怪物强度修正!$A$2:$R$17,COLUMN(AA257)-9,FALSE)</f>
        <v>50</v>
      </c>
    </row>
    <row r="258" spans="1:27" s="2" customFormat="1">
      <c r="A258" s="2" t="str">
        <f t="shared" si="34"/>
        <v>PhyType.NewNpcType_522</v>
      </c>
      <c r="B258" s="2" t="s">
        <v>137</v>
      </c>
      <c r="C258" s="2">
        <v>522</v>
      </c>
      <c r="D258" s="2">
        <v>522</v>
      </c>
      <c r="G258" s="2" t="str">
        <f t="shared" si="61"/>
        <v>钳虫精英</v>
      </c>
      <c r="H258" s="2" t="str">
        <f t="shared" si="62"/>
        <v>死亡峡谷</v>
      </c>
      <c r="I258" s="2">
        <f t="shared" si="63"/>
        <v>749</v>
      </c>
      <c r="K258" s="2">
        <f>原始值!D258+VLOOKUP($H258,怪物强度修正!$A$2:$R$17,COLUMN(K258)-9,FALSE)</f>
        <v>26</v>
      </c>
      <c r="L258" s="2">
        <f>原始值!E258+VLOOKUP($H258,怪物强度修正!$A$2:$R$17,COLUMN(L258)-9,FALSE)</f>
        <v>41</v>
      </c>
      <c r="M258" s="2">
        <f t="shared" si="38"/>
        <v>26</v>
      </c>
      <c r="N258" s="2">
        <f t="shared" si="39"/>
        <v>41</v>
      </c>
      <c r="O258" s="2">
        <f>原始值!H258+VLOOKUP($H258,怪物强度修正!$A$2:$R$17,COLUMN(O258)-9,FALSE)</f>
        <v>0</v>
      </c>
      <c r="P258" s="2">
        <f>原始值!I258+VLOOKUP($H258,怪物强度修正!$A$2:$R$17,COLUMN(P258)-9,FALSE)</f>
        <v>0</v>
      </c>
      <c r="Q258" s="2">
        <f>原始值!J258+VLOOKUP($H258,怪物强度修正!$A$2:$R$17,COLUMN(Q258)-9,FALSE)</f>
        <v>8</v>
      </c>
      <c r="R258" s="2">
        <f>原始值!K258+VLOOKUP($H258,怪物强度修正!$A$2:$R$17,COLUMN(R258)-9,FALSE)</f>
        <v>8</v>
      </c>
      <c r="S258" s="2">
        <f>原始值!L258+VLOOKUP($H258,怪物强度修正!$A$2:$R$17,COLUMN(S258)-9,FALSE)</f>
        <v>18</v>
      </c>
      <c r="T258" s="2">
        <f>原始值!M258+VLOOKUP($H258,怪物强度修正!$A$2:$R$17,COLUMN(T258)-9,FALSE)</f>
        <v>18</v>
      </c>
      <c r="U258" s="2">
        <f>原始值!N258+VLOOKUP($H258,怪物强度修正!$A$2:$R$17,COLUMN(U258)-9,FALSE)</f>
        <v>810</v>
      </c>
      <c r="V258" s="2">
        <v>1</v>
      </c>
      <c r="W258" s="2">
        <f>原始值!P258+VLOOKUP($H258,怪物强度修正!$A$2:$R$17,COLUMN(W258)-9,FALSE)</f>
        <v>13</v>
      </c>
      <c r="X258" s="2">
        <f>原始值!Q258+VLOOKUP($H258,怪物强度修正!$A$2:$R$17,COLUMN(X258)-9,FALSE)</f>
        <v>15</v>
      </c>
      <c r="Y258" s="2">
        <f>原始值!R258+VLOOKUP($H258,怪物强度修正!$A$2:$R$17,COLUMN(Y258)-9,FALSE)</f>
        <v>75</v>
      </c>
      <c r="Z258" s="2">
        <f>原始值!S258+VLOOKUP($H258,怪物强度修正!$A$2:$R$17,COLUMN(Z258)-9,FALSE)</f>
        <v>300</v>
      </c>
      <c r="AA258" s="2">
        <f>原始值!T258+VLOOKUP($H258,怪物强度修正!$A$2:$R$17,COLUMN(AA258)-9,FALSE)</f>
        <v>50</v>
      </c>
    </row>
    <row r="259" spans="1:27" s="2" customFormat="1">
      <c r="A259" s="2" t="str">
        <f t="shared" si="34"/>
        <v>PhyType.NewNpcType_523</v>
      </c>
      <c r="B259" s="2" t="s">
        <v>137</v>
      </c>
      <c r="C259" s="2">
        <v>523</v>
      </c>
      <c r="D259" s="2">
        <v>523</v>
      </c>
      <c r="G259" s="2" t="str">
        <f t="shared" si="61"/>
        <v>跳跳蜂精英</v>
      </c>
      <c r="H259" s="2" t="str">
        <f t="shared" si="62"/>
        <v>死亡峡谷</v>
      </c>
      <c r="I259" s="2">
        <f t="shared" si="63"/>
        <v>629</v>
      </c>
      <c r="K259" s="2">
        <f>原始值!D259+VLOOKUP($H259,怪物强度修正!$A$2:$R$17,COLUMN(K259)-9,FALSE)</f>
        <v>21</v>
      </c>
      <c r="L259" s="2">
        <f>原始值!E259+VLOOKUP($H259,怪物强度修正!$A$2:$R$17,COLUMN(L259)-9,FALSE)</f>
        <v>30</v>
      </c>
      <c r="M259" s="2">
        <f t="shared" si="38"/>
        <v>21</v>
      </c>
      <c r="N259" s="2">
        <f t="shared" si="39"/>
        <v>30</v>
      </c>
      <c r="O259" s="2">
        <f>原始值!H259+VLOOKUP($H259,怪物强度修正!$A$2:$R$17,COLUMN(O259)-9,FALSE)</f>
        <v>0</v>
      </c>
      <c r="P259" s="2">
        <f>原始值!I259+VLOOKUP($H259,怪物强度修正!$A$2:$R$17,COLUMN(P259)-9,FALSE)</f>
        <v>0</v>
      </c>
      <c r="Q259" s="2">
        <f>原始值!J259+VLOOKUP($H259,怪物强度修正!$A$2:$R$17,COLUMN(Q259)-9,FALSE)</f>
        <v>5</v>
      </c>
      <c r="R259" s="2">
        <f>原始值!K259+VLOOKUP($H259,怪物强度修正!$A$2:$R$17,COLUMN(R259)-9,FALSE)</f>
        <v>5</v>
      </c>
      <c r="S259" s="2">
        <f>原始值!L259+VLOOKUP($H259,怪物强度修正!$A$2:$R$17,COLUMN(S259)-9,FALSE)</f>
        <v>12</v>
      </c>
      <c r="T259" s="2">
        <f>原始值!M259+VLOOKUP($H259,怪物强度修正!$A$2:$R$17,COLUMN(T259)-9,FALSE)</f>
        <v>12</v>
      </c>
      <c r="U259" s="2">
        <f>原始值!N259+VLOOKUP($H259,怪物强度修正!$A$2:$R$17,COLUMN(U259)-9,FALSE)</f>
        <v>600</v>
      </c>
      <c r="V259" s="2">
        <v>1</v>
      </c>
      <c r="W259" s="2">
        <f>原始值!P259+VLOOKUP($H259,怪物强度修正!$A$2:$R$17,COLUMN(W259)-9,FALSE)</f>
        <v>13</v>
      </c>
      <c r="X259" s="2">
        <f>原始值!Q259+VLOOKUP($H259,怪物强度修正!$A$2:$R$17,COLUMN(X259)-9,FALSE)</f>
        <v>15</v>
      </c>
      <c r="Y259" s="2">
        <f>原始值!R259+VLOOKUP($H259,怪物强度修正!$A$2:$R$17,COLUMN(Y259)-9,FALSE)</f>
        <v>75</v>
      </c>
      <c r="Z259" s="2">
        <f>原始值!S259+VLOOKUP($H259,怪物强度修正!$A$2:$R$17,COLUMN(Z259)-9,FALSE)</f>
        <v>300</v>
      </c>
      <c r="AA259" s="2">
        <f>原始值!T259+VLOOKUP($H259,怪物强度修正!$A$2:$R$17,COLUMN(AA259)-9,FALSE)</f>
        <v>50</v>
      </c>
    </row>
    <row r="260" spans="1:27" s="2" customFormat="1">
      <c r="A260" s="2" t="str">
        <f t="shared" si="34"/>
        <v>PhyType.NewNpcType_524</v>
      </c>
      <c r="B260" s="2" t="s">
        <v>137</v>
      </c>
      <c r="C260" s="2">
        <v>524</v>
      </c>
      <c r="D260" s="2">
        <v>524</v>
      </c>
      <c r="G260" s="2" t="str">
        <f t="shared" si="61"/>
        <v>恶蛆精英</v>
      </c>
      <c r="H260" s="2" t="str">
        <f t="shared" si="62"/>
        <v>石墓</v>
      </c>
      <c r="I260" s="2">
        <f t="shared" si="63"/>
        <v>539</v>
      </c>
      <c r="K260" s="2">
        <f>原始值!D260+VLOOKUP($H260,怪物强度修正!$A$2:$R$17,COLUMN(K260)-9,FALSE)</f>
        <v>18</v>
      </c>
      <c r="L260" s="2">
        <f>原始值!E260+VLOOKUP($H260,怪物强度修正!$A$2:$R$17,COLUMN(L260)-9,FALSE)</f>
        <v>26</v>
      </c>
      <c r="M260" s="2">
        <f t="shared" si="38"/>
        <v>18</v>
      </c>
      <c r="N260" s="2">
        <f t="shared" si="39"/>
        <v>26</v>
      </c>
      <c r="O260" s="2">
        <f>原始值!H260+VLOOKUP($H260,怪物强度修正!$A$2:$R$17,COLUMN(O260)-9,FALSE)</f>
        <v>0</v>
      </c>
      <c r="P260" s="2">
        <f>原始值!I260+VLOOKUP($H260,怪物强度修正!$A$2:$R$17,COLUMN(P260)-9,FALSE)</f>
        <v>0</v>
      </c>
      <c r="Q260" s="2">
        <f>原始值!J260+VLOOKUP($H260,怪物强度修正!$A$2:$R$17,COLUMN(Q260)-9,FALSE)</f>
        <v>8</v>
      </c>
      <c r="R260" s="2">
        <f>原始值!K260+VLOOKUP($H260,怪物强度修正!$A$2:$R$17,COLUMN(R260)-9,FALSE)</f>
        <v>8</v>
      </c>
      <c r="S260" s="2">
        <f>原始值!L260+VLOOKUP($H260,怪物强度修正!$A$2:$R$17,COLUMN(S260)-9,FALSE)</f>
        <v>7</v>
      </c>
      <c r="T260" s="2">
        <f>原始值!M260+VLOOKUP($H260,怪物强度修正!$A$2:$R$17,COLUMN(T260)-9,FALSE)</f>
        <v>7</v>
      </c>
      <c r="U260" s="2">
        <f>原始值!N260+VLOOKUP($H260,怪物强度修正!$A$2:$R$17,COLUMN(U260)-9,FALSE)</f>
        <v>690</v>
      </c>
      <c r="V260" s="2">
        <v>1</v>
      </c>
      <c r="W260" s="2">
        <f>原始值!P260+VLOOKUP($H260,怪物强度修正!$A$2:$R$17,COLUMN(W260)-9,FALSE)</f>
        <v>13</v>
      </c>
      <c r="X260" s="2">
        <f>原始值!Q260+VLOOKUP($H260,怪物强度修正!$A$2:$R$17,COLUMN(X260)-9,FALSE)</f>
        <v>15</v>
      </c>
      <c r="Y260" s="2">
        <f>原始值!R260+VLOOKUP($H260,怪物强度修正!$A$2:$R$17,COLUMN(Y260)-9,FALSE)</f>
        <v>75</v>
      </c>
      <c r="Z260" s="2">
        <f>原始值!S260+VLOOKUP($H260,怪物强度修正!$A$2:$R$17,COLUMN(Z260)-9,FALSE)</f>
        <v>300</v>
      </c>
      <c r="AA260" s="2">
        <f>原始值!T260+VLOOKUP($H260,怪物强度修正!$A$2:$R$17,COLUMN(AA260)-9,FALSE)</f>
        <v>50</v>
      </c>
    </row>
    <row r="261" spans="1:27" s="2" customFormat="1">
      <c r="A261" s="2" t="str">
        <f t="shared" si="34"/>
        <v>PhyType.NewNpcType_525</v>
      </c>
      <c r="B261" s="2" t="s">
        <v>137</v>
      </c>
      <c r="C261" s="2">
        <v>525</v>
      </c>
      <c r="D261" s="2">
        <v>525</v>
      </c>
      <c r="G261" s="2" t="str">
        <f t="shared" si="61"/>
        <v>红野猪精英</v>
      </c>
      <c r="H261" s="2" t="str">
        <f t="shared" si="62"/>
        <v>石墓</v>
      </c>
      <c r="I261" s="2">
        <f t="shared" si="63"/>
        <v>959</v>
      </c>
      <c r="K261" s="2">
        <f>原始值!D261+VLOOKUP($H261,怪物强度修正!$A$2:$R$17,COLUMN(K261)-9,FALSE)</f>
        <v>30</v>
      </c>
      <c r="L261" s="2">
        <f>原始值!E261+VLOOKUP($H261,怪物强度修正!$A$2:$R$17,COLUMN(L261)-9,FALSE)</f>
        <v>41</v>
      </c>
      <c r="M261" s="2">
        <f t="shared" si="38"/>
        <v>30</v>
      </c>
      <c r="N261" s="2">
        <f t="shared" si="39"/>
        <v>41</v>
      </c>
      <c r="O261" s="2">
        <f>原始值!H261+VLOOKUP($H261,怪物强度修正!$A$2:$R$17,COLUMN(O261)-9,FALSE)</f>
        <v>0</v>
      </c>
      <c r="P261" s="2">
        <f>原始值!I261+VLOOKUP($H261,怪物强度修正!$A$2:$R$17,COLUMN(P261)-9,FALSE)</f>
        <v>0</v>
      </c>
      <c r="Q261" s="2">
        <f>原始值!J261+VLOOKUP($H261,怪物强度修正!$A$2:$R$17,COLUMN(Q261)-9,FALSE)</f>
        <v>1</v>
      </c>
      <c r="R261" s="2">
        <f>原始值!K261+VLOOKUP($H261,怪物强度修正!$A$2:$R$17,COLUMN(R261)-9,FALSE)</f>
        <v>1</v>
      </c>
      <c r="S261" s="2">
        <f>原始值!L261+VLOOKUP($H261,怪物强度修正!$A$2:$R$17,COLUMN(S261)-9,FALSE)</f>
        <v>19</v>
      </c>
      <c r="T261" s="2">
        <f>原始值!M261+VLOOKUP($H261,怪物强度修正!$A$2:$R$17,COLUMN(T261)-9,FALSE)</f>
        <v>19</v>
      </c>
      <c r="U261" s="2">
        <f>原始值!N261+VLOOKUP($H261,怪物强度修正!$A$2:$R$17,COLUMN(U261)-9,FALSE)</f>
        <v>990</v>
      </c>
      <c r="V261" s="2">
        <v>1</v>
      </c>
      <c r="W261" s="2">
        <f>原始值!P261+VLOOKUP($H261,怪物强度修正!$A$2:$R$17,COLUMN(W261)-9,FALSE)</f>
        <v>13</v>
      </c>
      <c r="X261" s="2">
        <f>原始值!Q261+VLOOKUP($H261,怪物强度修正!$A$2:$R$17,COLUMN(X261)-9,FALSE)</f>
        <v>15</v>
      </c>
      <c r="Y261" s="2">
        <f>原始值!R261+VLOOKUP($H261,怪物强度修正!$A$2:$R$17,COLUMN(Y261)-9,FALSE)</f>
        <v>75</v>
      </c>
      <c r="Z261" s="2">
        <f>原始值!S261+VLOOKUP($H261,怪物强度修正!$A$2:$R$17,COLUMN(Z261)-9,FALSE)</f>
        <v>300</v>
      </c>
      <c r="AA261" s="2">
        <f>原始值!T261+VLOOKUP($H261,怪物强度修正!$A$2:$R$17,COLUMN(AA261)-9,FALSE)</f>
        <v>50</v>
      </c>
    </row>
    <row r="262" spans="1:27" s="2" customFormat="1">
      <c r="A262" s="2" t="str">
        <f t="shared" si="34"/>
        <v>PhyType.NewNpcType_526</v>
      </c>
      <c r="B262" s="2" t="s">
        <v>137</v>
      </c>
      <c r="C262" s="2">
        <v>526</v>
      </c>
      <c r="D262" s="2">
        <v>526</v>
      </c>
      <c r="G262" s="2" t="str">
        <f t="shared" si="61"/>
        <v>黑野猪精英</v>
      </c>
      <c r="H262" s="2" t="str">
        <f t="shared" si="62"/>
        <v>石墓</v>
      </c>
      <c r="I262" s="2">
        <f t="shared" si="63"/>
        <v>1139</v>
      </c>
      <c r="K262" s="2">
        <f>原始值!D262+VLOOKUP($H262,怪物强度修正!$A$2:$R$17,COLUMN(K262)-9,FALSE)</f>
        <v>33</v>
      </c>
      <c r="L262" s="2">
        <f>原始值!E262+VLOOKUP($H262,怪物强度修正!$A$2:$R$17,COLUMN(L262)-9,FALSE)</f>
        <v>42</v>
      </c>
      <c r="M262" s="2">
        <f t="shared" si="38"/>
        <v>33</v>
      </c>
      <c r="N262" s="2">
        <f t="shared" si="39"/>
        <v>42</v>
      </c>
      <c r="O262" s="2">
        <f>原始值!H262+VLOOKUP($H262,怪物强度修正!$A$2:$R$17,COLUMN(O262)-9,FALSE)</f>
        <v>0</v>
      </c>
      <c r="P262" s="2">
        <f>原始值!I262+VLOOKUP($H262,怪物强度修正!$A$2:$R$17,COLUMN(P262)-9,FALSE)</f>
        <v>0</v>
      </c>
      <c r="Q262" s="2">
        <f>原始值!J262+VLOOKUP($H262,怪物强度修正!$A$2:$R$17,COLUMN(Q262)-9,FALSE)</f>
        <v>14</v>
      </c>
      <c r="R262" s="2">
        <f>原始值!K262+VLOOKUP($H262,怪物强度修正!$A$2:$R$17,COLUMN(R262)-9,FALSE)</f>
        <v>14</v>
      </c>
      <c r="S262" s="2">
        <f>原始值!L262+VLOOKUP($H262,怪物强度修正!$A$2:$R$17,COLUMN(S262)-9,FALSE)</f>
        <v>7</v>
      </c>
      <c r="T262" s="2">
        <f>原始值!M262+VLOOKUP($H262,怪物强度修正!$A$2:$R$17,COLUMN(T262)-9,FALSE)</f>
        <v>7</v>
      </c>
      <c r="U262" s="2">
        <f>原始值!N262+VLOOKUP($H262,怪物强度修正!$A$2:$R$17,COLUMN(U262)-9,FALSE)</f>
        <v>930</v>
      </c>
      <c r="V262" s="2">
        <v>1</v>
      </c>
      <c r="W262" s="2">
        <f>原始值!P262+VLOOKUP($H262,怪物强度修正!$A$2:$R$17,COLUMN(W262)-9,FALSE)</f>
        <v>13</v>
      </c>
      <c r="X262" s="2">
        <f>原始值!Q262+VLOOKUP($H262,怪物强度修正!$A$2:$R$17,COLUMN(X262)-9,FALSE)</f>
        <v>15</v>
      </c>
      <c r="Y262" s="2">
        <f>原始值!R262+VLOOKUP($H262,怪物强度修正!$A$2:$R$17,COLUMN(Y262)-9,FALSE)</f>
        <v>75</v>
      </c>
      <c r="Z262" s="2">
        <f>原始值!S262+VLOOKUP($H262,怪物强度修正!$A$2:$R$17,COLUMN(Z262)-9,FALSE)</f>
        <v>300</v>
      </c>
      <c r="AA262" s="2">
        <f>原始值!T262+VLOOKUP($H262,怪物强度修正!$A$2:$R$17,COLUMN(AA262)-9,FALSE)</f>
        <v>50</v>
      </c>
    </row>
    <row r="263" spans="1:27" s="2" customFormat="1">
      <c r="A263" s="2" t="str">
        <f t="shared" si="34"/>
        <v>PhyType.NewNpcType_527</v>
      </c>
      <c r="B263" s="2" t="s">
        <v>137</v>
      </c>
      <c r="C263" s="2">
        <v>527</v>
      </c>
      <c r="D263" s="3">
        <v>527</v>
      </c>
      <c r="E263" s="3"/>
      <c r="F263" s="3"/>
      <c r="G263" s="2" t="str">
        <f t="shared" si="61"/>
        <v>白野猪精英</v>
      </c>
      <c r="H263" s="2" t="str">
        <f t="shared" si="62"/>
        <v>石墓</v>
      </c>
      <c r="I263" s="2">
        <f t="shared" si="63"/>
        <v>4799</v>
      </c>
      <c r="J263" s="3"/>
      <c r="K263" s="2">
        <f>原始值!D263+VLOOKUP($H263,怪物强度修正!$A$2:$R$17,COLUMN(K263)-9,FALSE)</f>
        <v>48</v>
      </c>
      <c r="L263" s="2">
        <f>原始值!E263+VLOOKUP($H263,怪物强度修正!$A$2:$R$17,COLUMN(L263)-9,FALSE)</f>
        <v>86</v>
      </c>
      <c r="M263" s="2">
        <f t="shared" si="38"/>
        <v>48</v>
      </c>
      <c r="N263" s="2">
        <f t="shared" si="39"/>
        <v>86</v>
      </c>
      <c r="O263" s="2">
        <f>原始值!H263+VLOOKUP($H263,怪物强度修正!$A$2:$R$17,COLUMN(O263)-9,FALSE)</f>
        <v>0</v>
      </c>
      <c r="P263" s="2">
        <f>原始值!I263+VLOOKUP($H263,怪物强度修正!$A$2:$R$17,COLUMN(P263)-9,FALSE)</f>
        <v>0</v>
      </c>
      <c r="Q263" s="2">
        <f>原始值!J263+VLOOKUP($H263,怪物强度修正!$A$2:$R$17,COLUMN(Q263)-9,FALSE)</f>
        <v>21</v>
      </c>
      <c r="R263" s="2">
        <f>原始值!K263+VLOOKUP($H263,怪物强度修正!$A$2:$R$17,COLUMN(R263)-9,FALSE)</f>
        <v>21</v>
      </c>
      <c r="S263" s="2">
        <f>原始值!L263+VLOOKUP($H263,怪物强度修正!$A$2:$R$17,COLUMN(S263)-9,FALSE)</f>
        <v>30</v>
      </c>
      <c r="T263" s="2">
        <f>原始值!M263+VLOOKUP($H263,怪物强度修正!$A$2:$R$17,COLUMN(T263)-9,FALSE)</f>
        <v>30</v>
      </c>
      <c r="U263" s="2">
        <f>原始值!N263+VLOOKUP($H263,怪物强度修正!$A$2:$R$17,COLUMN(U263)-9,FALSE)</f>
        <v>3000</v>
      </c>
      <c r="V263" s="2">
        <v>1</v>
      </c>
      <c r="W263" s="2">
        <f>原始值!P263+VLOOKUP($H263,怪物强度修正!$A$2:$R$17,COLUMN(W263)-9,FALSE)</f>
        <v>17</v>
      </c>
      <c r="X263" s="2">
        <f>原始值!Q263+VLOOKUP($H263,怪物强度修正!$A$2:$R$17,COLUMN(X263)-9,FALSE)</f>
        <v>25</v>
      </c>
      <c r="Y263" s="2">
        <f>原始值!R263+VLOOKUP($H263,怪物强度修正!$A$2:$R$17,COLUMN(Y263)-9,FALSE)</f>
        <v>75</v>
      </c>
      <c r="Z263" s="2">
        <f>原始值!S263+VLOOKUP($H263,怪物强度修正!$A$2:$R$17,COLUMN(Z263)-9,FALSE)</f>
        <v>300</v>
      </c>
      <c r="AA263" s="2">
        <f>原始值!T263+VLOOKUP($H263,怪物强度修正!$A$2:$R$17,COLUMN(AA263)-9,FALSE)</f>
        <v>50</v>
      </c>
    </row>
    <row r="264" spans="1:27" s="2" customFormat="1">
      <c r="A264" s="2" t="str">
        <f t="shared" si="34"/>
        <v>PhyType.NewNpcType_528</v>
      </c>
      <c r="B264" s="2" t="s">
        <v>137</v>
      </c>
      <c r="C264" s="2">
        <v>528</v>
      </c>
      <c r="D264" s="3">
        <v>528</v>
      </c>
      <c r="E264" s="3"/>
      <c r="F264" s="3"/>
      <c r="G264" s="2" t="str">
        <f t="shared" ref="G264:G287" si="65">G40&amp;"精英"</f>
        <v>虹魔猪卫精英</v>
      </c>
      <c r="H264" s="2" t="str">
        <f t="shared" ref="H264:H287" si="66">H40</f>
        <v>虹魔教坛</v>
      </c>
      <c r="I264" s="2">
        <f t="shared" ref="I264:I287" si="67">INT((I40+1)*3-1)</f>
        <v>5999</v>
      </c>
      <c r="J264" s="3"/>
      <c r="K264" s="2">
        <f>原始值!D264+VLOOKUP($H264,怪物强度修正!$A$2:$R$17,COLUMN(K264)-9,FALSE)</f>
        <v>60</v>
      </c>
      <c r="L264" s="2">
        <f>原始值!E264+VLOOKUP($H264,怪物强度修正!$A$2:$R$17,COLUMN(L264)-9,FALSE)</f>
        <v>90</v>
      </c>
      <c r="M264" s="2">
        <f t="shared" si="38"/>
        <v>60</v>
      </c>
      <c r="N264" s="2">
        <f t="shared" si="39"/>
        <v>90</v>
      </c>
      <c r="O264" s="2">
        <f>原始值!H264+VLOOKUP($H264,怪物强度修正!$A$2:$R$17,COLUMN(O264)-9,FALSE)</f>
        <v>0</v>
      </c>
      <c r="P264" s="2">
        <f>原始值!I264+VLOOKUP($H264,怪物强度修正!$A$2:$R$17,COLUMN(P264)-9,FALSE)</f>
        <v>0</v>
      </c>
      <c r="Q264" s="2">
        <f>原始值!J264+VLOOKUP($H264,怪物强度修正!$A$2:$R$17,COLUMN(Q264)-9,FALSE)</f>
        <v>26</v>
      </c>
      <c r="R264" s="2">
        <f>原始值!K264+VLOOKUP($H264,怪物强度修正!$A$2:$R$17,COLUMN(R264)-9,FALSE)</f>
        <v>26</v>
      </c>
      <c r="S264" s="2">
        <f>原始值!L264+VLOOKUP($H264,怪物强度修正!$A$2:$R$17,COLUMN(S264)-9,FALSE)</f>
        <v>35</v>
      </c>
      <c r="T264" s="2">
        <f>原始值!M264+VLOOKUP($H264,怪物强度修正!$A$2:$R$17,COLUMN(T264)-9,FALSE)</f>
        <v>35</v>
      </c>
      <c r="U264" s="2">
        <f>原始值!N264+VLOOKUP($H264,怪物强度修正!$A$2:$R$17,COLUMN(U264)-9,FALSE)</f>
        <v>4500</v>
      </c>
      <c r="V264" s="2">
        <v>1</v>
      </c>
      <c r="W264" s="2">
        <f>原始值!P264+VLOOKUP($H264,怪物强度修正!$A$2:$R$17,COLUMN(W264)-9,FALSE)</f>
        <v>17</v>
      </c>
      <c r="X264" s="2">
        <f>原始值!Q264+VLOOKUP($H264,怪物强度修正!$A$2:$R$17,COLUMN(X264)-9,FALSE)</f>
        <v>25</v>
      </c>
      <c r="Y264" s="2">
        <f>原始值!R264+VLOOKUP($H264,怪物强度修正!$A$2:$R$17,COLUMN(Y264)-9,FALSE)</f>
        <v>75</v>
      </c>
      <c r="Z264" s="2">
        <f>原始值!S264+VLOOKUP($H264,怪物强度修正!$A$2:$R$17,COLUMN(Z264)-9,FALSE)</f>
        <v>300</v>
      </c>
      <c r="AA264" s="2">
        <f>原始值!T264+VLOOKUP($H264,怪物强度修正!$A$2:$R$17,COLUMN(AA264)-9,FALSE)</f>
        <v>50</v>
      </c>
    </row>
    <row r="265" spans="1:27" s="2" customFormat="1">
      <c r="A265" s="2" t="str">
        <f t="shared" si="34"/>
        <v>PhyType.NewNpcType_529</v>
      </c>
      <c r="B265" s="2" t="s">
        <v>137</v>
      </c>
      <c r="C265" s="2">
        <v>529</v>
      </c>
      <c r="D265" s="3">
        <v>529</v>
      </c>
      <c r="E265" s="3"/>
      <c r="F265" s="3"/>
      <c r="G265" s="2" t="str">
        <f t="shared" si="65"/>
        <v>虹魔蝎卫精英</v>
      </c>
      <c r="H265" s="2" t="str">
        <f t="shared" si="66"/>
        <v>虹魔教坛</v>
      </c>
      <c r="I265" s="2">
        <f t="shared" si="67"/>
        <v>7499</v>
      </c>
      <c r="J265" s="3"/>
      <c r="K265" s="2">
        <f>原始值!D265+VLOOKUP($H265,怪物强度修正!$A$2:$R$17,COLUMN(K265)-9,FALSE)</f>
        <v>68</v>
      </c>
      <c r="L265" s="2">
        <f>原始值!E265+VLOOKUP($H265,怪物强度修正!$A$2:$R$17,COLUMN(L265)-9,FALSE)</f>
        <v>98</v>
      </c>
      <c r="M265" s="2">
        <f t="shared" si="38"/>
        <v>68</v>
      </c>
      <c r="N265" s="2">
        <f t="shared" si="39"/>
        <v>98</v>
      </c>
      <c r="O265" s="2">
        <f>原始值!H265+VLOOKUP($H265,怪物强度修正!$A$2:$R$17,COLUMN(O265)-9,FALSE)</f>
        <v>0</v>
      </c>
      <c r="P265" s="2">
        <f>原始值!I265+VLOOKUP($H265,怪物强度修正!$A$2:$R$17,COLUMN(P265)-9,FALSE)</f>
        <v>0</v>
      </c>
      <c r="Q265" s="2">
        <f>原始值!J265+VLOOKUP($H265,怪物强度修正!$A$2:$R$17,COLUMN(Q265)-9,FALSE)</f>
        <v>33</v>
      </c>
      <c r="R265" s="2">
        <f>原始值!K265+VLOOKUP($H265,怪物强度修正!$A$2:$R$17,COLUMN(R265)-9,FALSE)</f>
        <v>33</v>
      </c>
      <c r="S265" s="2">
        <f>原始值!L265+VLOOKUP($H265,怪物强度修正!$A$2:$R$17,COLUMN(S265)-9,FALSE)</f>
        <v>43</v>
      </c>
      <c r="T265" s="2">
        <f>原始值!M265+VLOOKUP($H265,怪物强度修正!$A$2:$R$17,COLUMN(T265)-9,FALSE)</f>
        <v>43</v>
      </c>
      <c r="U265" s="2">
        <f>原始值!N265+VLOOKUP($H265,怪物强度修正!$A$2:$R$17,COLUMN(U265)-9,FALSE)</f>
        <v>6000</v>
      </c>
      <c r="V265" s="2">
        <v>1</v>
      </c>
      <c r="W265" s="2">
        <f>原始值!P265+VLOOKUP($H265,怪物强度修正!$A$2:$R$17,COLUMN(W265)-9,FALSE)</f>
        <v>17</v>
      </c>
      <c r="X265" s="2">
        <f>原始值!Q265+VLOOKUP($H265,怪物强度修正!$A$2:$R$17,COLUMN(X265)-9,FALSE)</f>
        <v>25</v>
      </c>
      <c r="Y265" s="2">
        <f>原始值!R265+VLOOKUP($H265,怪物强度修正!$A$2:$R$17,COLUMN(Y265)-9,FALSE)</f>
        <v>75</v>
      </c>
      <c r="Z265" s="2">
        <f>原始值!S265+VLOOKUP($H265,怪物强度修正!$A$2:$R$17,COLUMN(Z265)-9,FALSE)</f>
        <v>300</v>
      </c>
      <c r="AA265" s="2">
        <f>原始值!T265+VLOOKUP($H265,怪物强度修正!$A$2:$R$17,COLUMN(AA265)-9,FALSE)</f>
        <v>50</v>
      </c>
    </row>
    <row r="266" spans="1:27" s="2" customFormat="1">
      <c r="A266" s="2" t="str">
        <f t="shared" si="34"/>
        <v>PhyType.NewNpcType_530</v>
      </c>
      <c r="B266" s="2" t="s">
        <v>137</v>
      </c>
      <c r="C266" s="2">
        <v>530</v>
      </c>
      <c r="D266" s="3">
        <v>530</v>
      </c>
      <c r="E266" s="3"/>
      <c r="F266" s="3"/>
      <c r="G266" s="2" t="str">
        <f t="shared" si="65"/>
        <v>残肢僵尸1精英</v>
      </c>
      <c r="H266" s="2" t="str">
        <f t="shared" si="66"/>
        <v>比奇矿区</v>
      </c>
      <c r="I266" s="2">
        <f t="shared" si="67"/>
        <v>224</v>
      </c>
      <c r="J266" s="3"/>
      <c r="K266" s="2">
        <f>原始值!D266+VLOOKUP($H266,怪物强度修正!$A$2:$R$17,COLUMN(K266)-9,FALSE)</f>
        <v>8</v>
      </c>
      <c r="L266" s="2">
        <f>原始值!E266+VLOOKUP($H266,怪物强度修正!$A$2:$R$17,COLUMN(L266)-9,FALSE)</f>
        <v>18</v>
      </c>
      <c r="M266" s="2">
        <f t="shared" si="38"/>
        <v>8</v>
      </c>
      <c r="N266" s="2">
        <f t="shared" si="39"/>
        <v>18</v>
      </c>
      <c r="O266" s="2">
        <f>原始值!H266+VLOOKUP($H266,怪物强度修正!$A$2:$R$17,COLUMN(O266)-9,FALSE)</f>
        <v>0</v>
      </c>
      <c r="P266" s="2">
        <f>原始值!I266+VLOOKUP($H266,怪物强度修正!$A$2:$R$17,COLUMN(P266)-9,FALSE)</f>
        <v>0</v>
      </c>
      <c r="Q266" s="2">
        <f>原始值!J266+VLOOKUP($H266,怪物强度修正!$A$2:$R$17,COLUMN(Q266)-9,FALSE)</f>
        <v>3</v>
      </c>
      <c r="R266" s="2">
        <f>原始值!K266+VLOOKUP($H266,怪物强度修正!$A$2:$R$17,COLUMN(R266)-9,FALSE)</f>
        <v>3</v>
      </c>
      <c r="S266" s="2">
        <f>原始值!L266+VLOOKUP($H266,怪物强度修正!$A$2:$R$17,COLUMN(S266)-9,FALSE)</f>
        <v>7</v>
      </c>
      <c r="T266" s="2">
        <f>原始值!M266+VLOOKUP($H266,怪物强度修正!$A$2:$R$17,COLUMN(T266)-9,FALSE)</f>
        <v>7</v>
      </c>
      <c r="U266" s="2">
        <f>原始值!N266+VLOOKUP($H266,怪物强度修正!$A$2:$R$17,COLUMN(U266)-9,FALSE)</f>
        <v>230</v>
      </c>
      <c r="V266" s="2">
        <v>1</v>
      </c>
      <c r="W266" s="2">
        <f>原始值!P266+VLOOKUP($H266,怪物强度修正!$A$2:$R$17,COLUMN(W266)-9,FALSE)</f>
        <v>5</v>
      </c>
      <c r="X266" s="2">
        <f>原始值!Q266+VLOOKUP($H266,怪物强度修正!$A$2:$R$17,COLUMN(X266)-9,FALSE)</f>
        <v>10</v>
      </c>
      <c r="Y266" s="2">
        <f>原始值!R266+VLOOKUP($H266,怪物强度修正!$A$2:$R$17,COLUMN(Y266)-9,FALSE)</f>
        <v>75</v>
      </c>
      <c r="Z266" s="2">
        <f>原始值!S266+VLOOKUP($H266,怪物强度修正!$A$2:$R$17,COLUMN(Z266)-9,FALSE)</f>
        <v>300</v>
      </c>
      <c r="AA266" s="2">
        <f>原始值!T266+VLOOKUP($H266,怪物强度修正!$A$2:$R$17,COLUMN(AA266)-9,FALSE)</f>
        <v>50</v>
      </c>
    </row>
    <row r="267" spans="1:27" s="2" customFormat="1">
      <c r="A267" s="2" t="str">
        <f t="shared" si="34"/>
        <v>PhyType.NewNpcType_531</v>
      </c>
      <c r="B267" s="2" t="s">
        <v>137</v>
      </c>
      <c r="C267" s="2">
        <v>531</v>
      </c>
      <c r="D267" s="3">
        <v>531</v>
      </c>
      <c r="E267" s="3"/>
      <c r="F267" s="3"/>
      <c r="G267" s="2" t="str">
        <f t="shared" si="65"/>
        <v>直立僵尸1精英</v>
      </c>
      <c r="H267" s="2" t="str">
        <f t="shared" si="66"/>
        <v>比奇矿区</v>
      </c>
      <c r="I267" s="2">
        <f t="shared" si="67"/>
        <v>224</v>
      </c>
      <c r="J267" s="3"/>
      <c r="K267" s="2">
        <f>原始值!D267+VLOOKUP($H267,怪物强度修正!$A$2:$R$17,COLUMN(K267)-9,FALSE)</f>
        <v>8</v>
      </c>
      <c r="L267" s="2">
        <f>原始值!E267+VLOOKUP($H267,怪物强度修正!$A$2:$R$17,COLUMN(L267)-9,FALSE)</f>
        <v>23</v>
      </c>
      <c r="M267" s="2">
        <f t="shared" si="38"/>
        <v>8</v>
      </c>
      <c r="N267" s="2">
        <f t="shared" si="39"/>
        <v>23</v>
      </c>
      <c r="O267" s="2">
        <f>原始值!H267+VLOOKUP($H267,怪物强度修正!$A$2:$R$17,COLUMN(O267)-9,FALSE)</f>
        <v>0</v>
      </c>
      <c r="P267" s="2">
        <f>原始值!I267+VLOOKUP($H267,怪物强度修正!$A$2:$R$17,COLUMN(P267)-9,FALSE)</f>
        <v>0</v>
      </c>
      <c r="Q267" s="2">
        <f>原始值!J267+VLOOKUP($H267,怪物强度修正!$A$2:$R$17,COLUMN(Q267)-9,FALSE)</f>
        <v>3</v>
      </c>
      <c r="R267" s="2">
        <f>原始值!K267+VLOOKUP($H267,怪物强度修正!$A$2:$R$17,COLUMN(R267)-9,FALSE)</f>
        <v>3</v>
      </c>
      <c r="S267" s="2">
        <f>原始值!L267+VLOOKUP($H267,怪物强度修正!$A$2:$R$17,COLUMN(S267)-9,FALSE)</f>
        <v>7</v>
      </c>
      <c r="T267" s="2">
        <f>原始值!M267+VLOOKUP($H267,怪物强度修正!$A$2:$R$17,COLUMN(T267)-9,FALSE)</f>
        <v>7</v>
      </c>
      <c r="U267" s="2">
        <f>原始值!N267+VLOOKUP($H267,怪物强度修正!$A$2:$R$17,COLUMN(U267)-9,FALSE)</f>
        <v>230</v>
      </c>
      <c r="V267" s="2">
        <v>1</v>
      </c>
      <c r="W267" s="2">
        <f>原始值!P267+VLOOKUP($H267,怪物强度修正!$A$2:$R$17,COLUMN(W267)-9,FALSE)</f>
        <v>5</v>
      </c>
      <c r="X267" s="2">
        <f>原始值!Q267+VLOOKUP($H267,怪物强度修正!$A$2:$R$17,COLUMN(X267)-9,FALSE)</f>
        <v>10</v>
      </c>
      <c r="Y267" s="2">
        <f>原始值!R267+VLOOKUP($H267,怪物强度修正!$A$2:$R$17,COLUMN(Y267)-9,FALSE)</f>
        <v>75</v>
      </c>
      <c r="Z267" s="2">
        <f>原始值!S267+VLOOKUP($H267,怪物强度修正!$A$2:$R$17,COLUMN(Z267)-9,FALSE)</f>
        <v>300</v>
      </c>
      <c r="AA267" s="2">
        <f>原始值!T267+VLOOKUP($H267,怪物强度修正!$A$2:$R$17,COLUMN(AA267)-9,FALSE)</f>
        <v>50</v>
      </c>
    </row>
    <row r="268" spans="1:27" s="2" customFormat="1">
      <c r="A268" s="2" t="str">
        <f t="shared" si="34"/>
        <v>PhyType.NewNpcType_532</v>
      </c>
      <c r="B268" s="2" t="s">
        <v>137</v>
      </c>
      <c r="C268" s="2">
        <v>532</v>
      </c>
      <c r="D268" s="3">
        <v>532</v>
      </c>
      <c r="E268" s="3"/>
      <c r="F268" s="3"/>
      <c r="G268" s="2" t="str">
        <f t="shared" si="65"/>
        <v>残肢僵尸2精英</v>
      </c>
      <c r="H268" s="2" t="str">
        <f t="shared" si="66"/>
        <v>比奇矿区</v>
      </c>
      <c r="I268" s="2">
        <f t="shared" si="67"/>
        <v>110</v>
      </c>
      <c r="J268" s="3"/>
      <c r="K268" s="2">
        <f>原始值!D268+VLOOKUP($H268,怪物强度修正!$A$2:$R$17,COLUMN(K268)-9,FALSE)</f>
        <v>8</v>
      </c>
      <c r="L268" s="2">
        <f>原始值!E268+VLOOKUP($H268,怪物强度修正!$A$2:$R$17,COLUMN(L268)-9,FALSE)</f>
        <v>18</v>
      </c>
      <c r="M268" s="2">
        <f t="shared" si="38"/>
        <v>8</v>
      </c>
      <c r="N268" s="2">
        <f t="shared" si="39"/>
        <v>18</v>
      </c>
      <c r="O268" s="2">
        <f>原始值!H268+VLOOKUP($H268,怪物强度修正!$A$2:$R$17,COLUMN(O268)-9,FALSE)</f>
        <v>0</v>
      </c>
      <c r="P268" s="2">
        <f>原始值!I268+VLOOKUP($H268,怪物强度修正!$A$2:$R$17,COLUMN(P268)-9,FALSE)</f>
        <v>0</v>
      </c>
      <c r="Q268" s="2">
        <f>原始值!J268+VLOOKUP($H268,怪物强度修正!$A$2:$R$17,COLUMN(Q268)-9,FALSE)</f>
        <v>3</v>
      </c>
      <c r="R268" s="2">
        <f>原始值!K268+VLOOKUP($H268,怪物强度修正!$A$2:$R$17,COLUMN(R268)-9,FALSE)</f>
        <v>3</v>
      </c>
      <c r="S268" s="2">
        <f>原始值!L268+VLOOKUP($H268,怪物强度修正!$A$2:$R$17,COLUMN(S268)-9,FALSE)</f>
        <v>7</v>
      </c>
      <c r="T268" s="2">
        <f>原始值!M268+VLOOKUP($H268,怪物强度修正!$A$2:$R$17,COLUMN(T268)-9,FALSE)</f>
        <v>7</v>
      </c>
      <c r="U268" s="2">
        <f>原始值!N268+VLOOKUP($H268,怪物强度修正!$A$2:$R$17,COLUMN(U268)-9,FALSE)</f>
        <v>110</v>
      </c>
      <c r="V268" s="2">
        <v>1</v>
      </c>
      <c r="W268" s="2">
        <f>原始值!P268+VLOOKUP($H268,怪物强度修正!$A$2:$R$17,COLUMN(W268)-9,FALSE)</f>
        <v>5</v>
      </c>
      <c r="X268" s="2">
        <f>原始值!Q268+VLOOKUP($H268,怪物强度修正!$A$2:$R$17,COLUMN(X268)-9,FALSE)</f>
        <v>10</v>
      </c>
      <c r="Y268" s="2">
        <f>原始值!R268+VLOOKUP($H268,怪物强度修正!$A$2:$R$17,COLUMN(Y268)-9,FALSE)</f>
        <v>75</v>
      </c>
      <c r="Z268" s="2">
        <f>原始值!S268+VLOOKUP($H268,怪物强度修正!$A$2:$R$17,COLUMN(Z268)-9,FALSE)</f>
        <v>300</v>
      </c>
      <c r="AA268" s="2">
        <f>原始值!T268+VLOOKUP($H268,怪物强度修正!$A$2:$R$17,COLUMN(AA268)-9,FALSE)</f>
        <v>50</v>
      </c>
    </row>
    <row r="269" spans="1:27" s="2" customFormat="1">
      <c r="A269" s="2" t="str">
        <f t="shared" si="34"/>
        <v>PhyType.NewNpcType_533</v>
      </c>
      <c r="B269" s="2" t="s">
        <v>137</v>
      </c>
      <c r="C269" s="2">
        <v>533</v>
      </c>
      <c r="D269" s="3">
        <v>533</v>
      </c>
      <c r="E269" s="3"/>
      <c r="F269" s="3"/>
      <c r="G269" s="2" t="str">
        <f t="shared" si="65"/>
        <v>直立僵尸2精英</v>
      </c>
      <c r="H269" s="2" t="str">
        <f t="shared" si="66"/>
        <v>比奇矿区</v>
      </c>
      <c r="I269" s="2">
        <f t="shared" si="67"/>
        <v>110</v>
      </c>
      <c r="J269" s="3"/>
      <c r="K269" s="2">
        <f>原始值!D269+VLOOKUP($H269,怪物强度修正!$A$2:$R$17,COLUMN(K269)-9,FALSE)</f>
        <v>8</v>
      </c>
      <c r="L269" s="2">
        <f>原始值!E269+VLOOKUP($H269,怪物强度修正!$A$2:$R$17,COLUMN(L269)-9,FALSE)</f>
        <v>23</v>
      </c>
      <c r="M269" s="2">
        <f t="shared" si="38"/>
        <v>8</v>
      </c>
      <c r="N269" s="2">
        <f t="shared" si="39"/>
        <v>23</v>
      </c>
      <c r="O269" s="2">
        <f>原始值!H269+VLOOKUP($H269,怪物强度修正!$A$2:$R$17,COLUMN(O269)-9,FALSE)</f>
        <v>0</v>
      </c>
      <c r="P269" s="2">
        <f>原始值!I269+VLOOKUP($H269,怪物强度修正!$A$2:$R$17,COLUMN(P269)-9,FALSE)</f>
        <v>0</v>
      </c>
      <c r="Q269" s="2">
        <f>原始值!J269+VLOOKUP($H269,怪物强度修正!$A$2:$R$17,COLUMN(Q269)-9,FALSE)</f>
        <v>3</v>
      </c>
      <c r="R269" s="2">
        <f>原始值!K269+VLOOKUP($H269,怪物强度修正!$A$2:$R$17,COLUMN(R269)-9,FALSE)</f>
        <v>3</v>
      </c>
      <c r="S269" s="2">
        <f>原始值!L269+VLOOKUP($H269,怪物强度修正!$A$2:$R$17,COLUMN(S269)-9,FALSE)</f>
        <v>7</v>
      </c>
      <c r="T269" s="2">
        <f>原始值!M269+VLOOKUP($H269,怪物强度修正!$A$2:$R$17,COLUMN(T269)-9,FALSE)</f>
        <v>7</v>
      </c>
      <c r="U269" s="2">
        <f>原始值!N269+VLOOKUP($H269,怪物强度修正!$A$2:$R$17,COLUMN(U269)-9,FALSE)</f>
        <v>110</v>
      </c>
      <c r="V269" s="2">
        <v>1</v>
      </c>
      <c r="W269" s="2">
        <f>原始值!P269+VLOOKUP($H269,怪物强度修正!$A$2:$R$17,COLUMN(W269)-9,FALSE)</f>
        <v>5</v>
      </c>
      <c r="X269" s="2">
        <f>原始值!Q269+VLOOKUP($H269,怪物强度修正!$A$2:$R$17,COLUMN(X269)-9,FALSE)</f>
        <v>10</v>
      </c>
      <c r="Y269" s="2">
        <f>原始值!R269+VLOOKUP($H269,怪物强度修正!$A$2:$R$17,COLUMN(Y269)-9,FALSE)</f>
        <v>75</v>
      </c>
      <c r="Z269" s="2">
        <f>原始值!S269+VLOOKUP($H269,怪物强度修正!$A$2:$R$17,COLUMN(Z269)-9,FALSE)</f>
        <v>300</v>
      </c>
      <c r="AA269" s="2">
        <f>原始值!T269+VLOOKUP($H269,怪物强度修正!$A$2:$R$17,COLUMN(AA269)-9,FALSE)</f>
        <v>50</v>
      </c>
    </row>
    <row r="270" spans="1:27" s="2" customFormat="1">
      <c r="A270" s="2" t="str">
        <f t="shared" si="34"/>
        <v>PhyType.NewNpcType_534</v>
      </c>
      <c r="B270" s="2" t="s">
        <v>137</v>
      </c>
      <c r="C270" s="2">
        <v>534</v>
      </c>
      <c r="D270" s="3">
        <v>534</v>
      </c>
      <c r="E270" s="3"/>
      <c r="F270" s="3"/>
      <c r="G270" s="2" t="str">
        <f t="shared" si="65"/>
        <v>祖玛老鼠精英</v>
      </c>
      <c r="H270" s="2" t="str">
        <f t="shared" si="66"/>
        <v>祖玛寺庙</v>
      </c>
      <c r="I270" s="2">
        <f t="shared" si="67"/>
        <v>1049</v>
      </c>
      <c r="J270" s="3"/>
      <c r="K270" s="2">
        <f>原始值!D270+VLOOKUP($H270,怪物强度修正!$A$2:$R$17,COLUMN(K270)-9,FALSE)</f>
        <v>22</v>
      </c>
      <c r="L270" s="2">
        <f>原始值!E270+VLOOKUP($H270,怪物强度修正!$A$2:$R$17,COLUMN(L270)-9,FALSE)</f>
        <v>39</v>
      </c>
      <c r="M270" s="2">
        <f t="shared" si="38"/>
        <v>22</v>
      </c>
      <c r="N270" s="2">
        <f t="shared" si="39"/>
        <v>39</v>
      </c>
      <c r="O270" s="2">
        <f>原始值!H270+VLOOKUP($H270,怪物强度修正!$A$2:$R$17,COLUMN(O270)-9,FALSE)</f>
        <v>0</v>
      </c>
      <c r="P270" s="2">
        <f>原始值!I270+VLOOKUP($H270,怪物强度修正!$A$2:$R$17,COLUMN(P270)-9,FALSE)</f>
        <v>0</v>
      </c>
      <c r="Q270" s="2">
        <f>原始值!J270+VLOOKUP($H270,怪物强度修正!$A$2:$R$17,COLUMN(Q270)-9,FALSE)</f>
        <v>5</v>
      </c>
      <c r="R270" s="2">
        <f>原始值!K270+VLOOKUP($H270,怪物强度修正!$A$2:$R$17,COLUMN(R270)-9,FALSE)</f>
        <v>5</v>
      </c>
      <c r="S270" s="2">
        <f>原始值!L270+VLOOKUP($H270,怪物强度修正!$A$2:$R$17,COLUMN(S270)-9,FALSE)</f>
        <v>15</v>
      </c>
      <c r="T270" s="2">
        <f>原始值!M270+VLOOKUP($H270,怪物强度修正!$A$2:$R$17,COLUMN(T270)-9,FALSE)</f>
        <v>15</v>
      </c>
      <c r="U270" s="2">
        <f>原始值!N270+VLOOKUP($H270,怪物强度修正!$A$2:$R$17,COLUMN(U270)-9,FALSE)</f>
        <v>1160</v>
      </c>
      <c r="V270" s="2">
        <v>1</v>
      </c>
      <c r="W270" s="2">
        <f>原始值!P270+VLOOKUP($H270,怪物强度修正!$A$2:$R$17,COLUMN(W270)-9,FALSE)</f>
        <v>12</v>
      </c>
      <c r="X270" s="2">
        <f>原始值!Q270+VLOOKUP($H270,怪物强度修正!$A$2:$R$17,COLUMN(X270)-9,FALSE)</f>
        <v>15</v>
      </c>
      <c r="Y270" s="2">
        <f>原始值!R270+VLOOKUP($H270,怪物强度修正!$A$2:$R$17,COLUMN(Y270)-9,FALSE)</f>
        <v>75</v>
      </c>
      <c r="Z270" s="2">
        <f>原始值!S270+VLOOKUP($H270,怪物强度修正!$A$2:$R$17,COLUMN(Z270)-9,FALSE)</f>
        <v>300</v>
      </c>
      <c r="AA270" s="2">
        <f>原始值!T270+VLOOKUP($H270,怪物强度修正!$A$2:$R$17,COLUMN(AA270)-9,FALSE)</f>
        <v>50</v>
      </c>
    </row>
    <row r="271" spans="1:27" s="2" customFormat="1">
      <c r="A271" s="2" t="str">
        <f t="shared" si="34"/>
        <v>PhyType.NewNpcType_535</v>
      </c>
      <c r="B271" s="2" t="s">
        <v>137</v>
      </c>
      <c r="C271" s="2">
        <v>535</v>
      </c>
      <c r="D271" s="3">
        <v>535</v>
      </c>
      <c r="E271" s="3"/>
      <c r="F271" s="3"/>
      <c r="G271" s="2" t="str">
        <f t="shared" si="65"/>
        <v>祖玛卫士弓精英</v>
      </c>
      <c r="H271" s="2" t="str">
        <f t="shared" si="66"/>
        <v>祖玛寺庙</v>
      </c>
      <c r="I271" s="2">
        <f t="shared" si="67"/>
        <v>1109</v>
      </c>
      <c r="J271" s="3"/>
      <c r="K271" s="2">
        <f>原始值!D271+VLOOKUP($H271,怪物强度修正!$A$2:$R$17,COLUMN(K271)-9,FALSE)</f>
        <v>22</v>
      </c>
      <c r="L271" s="2">
        <f>原始值!E271+VLOOKUP($H271,怪物强度修正!$A$2:$R$17,COLUMN(L271)-9,FALSE)</f>
        <v>31</v>
      </c>
      <c r="M271" s="2">
        <f t="shared" si="38"/>
        <v>22</v>
      </c>
      <c r="N271" s="2">
        <f t="shared" si="39"/>
        <v>31</v>
      </c>
      <c r="O271" s="2">
        <f>原始值!H271+VLOOKUP($H271,怪物强度修正!$A$2:$R$17,COLUMN(O271)-9,FALSE)</f>
        <v>0</v>
      </c>
      <c r="P271" s="2">
        <f>原始值!I271+VLOOKUP($H271,怪物强度修正!$A$2:$R$17,COLUMN(P271)-9,FALSE)</f>
        <v>0</v>
      </c>
      <c r="Q271" s="2">
        <f>原始值!J271+VLOOKUP($H271,怪物强度修正!$A$2:$R$17,COLUMN(Q271)-9,FALSE)</f>
        <v>14</v>
      </c>
      <c r="R271" s="2">
        <f>原始值!K271+VLOOKUP($H271,怪物强度修正!$A$2:$R$17,COLUMN(R271)-9,FALSE)</f>
        <v>14</v>
      </c>
      <c r="S271" s="2">
        <f>原始值!L271+VLOOKUP($H271,怪物强度修正!$A$2:$R$17,COLUMN(S271)-9,FALSE)</f>
        <v>22</v>
      </c>
      <c r="T271" s="2">
        <f>原始值!M271+VLOOKUP($H271,怪物强度修正!$A$2:$R$17,COLUMN(T271)-9,FALSE)</f>
        <v>22</v>
      </c>
      <c r="U271" s="2">
        <f>原始值!N271+VLOOKUP($H271,怪物强度修正!$A$2:$R$17,COLUMN(U271)-9,FALSE)</f>
        <v>1160</v>
      </c>
      <c r="V271" s="2">
        <v>1</v>
      </c>
      <c r="W271" s="2">
        <f>原始值!P271+VLOOKUP($H271,怪物强度修正!$A$2:$R$17,COLUMN(W271)-9,FALSE)</f>
        <v>15</v>
      </c>
      <c r="X271" s="2">
        <f>原始值!Q271+VLOOKUP($H271,怪物强度修正!$A$2:$R$17,COLUMN(X271)-9,FALSE)</f>
        <v>15</v>
      </c>
      <c r="Y271" s="2">
        <f>原始值!R271+VLOOKUP($H271,怪物强度修正!$A$2:$R$17,COLUMN(Y271)-9,FALSE)</f>
        <v>75</v>
      </c>
      <c r="Z271" s="2">
        <f>原始值!S271+VLOOKUP($H271,怪物强度修正!$A$2:$R$17,COLUMN(Z271)-9,FALSE)</f>
        <v>300</v>
      </c>
      <c r="AA271" s="2">
        <f>原始值!T271+VLOOKUP($H271,怪物强度修正!$A$2:$R$17,COLUMN(AA271)-9,FALSE)</f>
        <v>50</v>
      </c>
    </row>
    <row r="272" spans="1:27" s="2" customFormat="1">
      <c r="A272" s="2" t="str">
        <f t="shared" si="34"/>
        <v>PhyType.NewNpcType_536</v>
      </c>
      <c r="B272" s="2" t="s">
        <v>137</v>
      </c>
      <c r="C272" s="2">
        <v>536</v>
      </c>
      <c r="D272" s="3">
        <v>536</v>
      </c>
      <c r="E272" s="3"/>
      <c r="F272" s="3"/>
      <c r="G272" s="2" t="str">
        <f t="shared" si="65"/>
        <v>祖玛卫士枪精英</v>
      </c>
      <c r="H272" s="2" t="str">
        <f t="shared" si="66"/>
        <v>祖玛寺庙</v>
      </c>
      <c r="I272" s="2">
        <f t="shared" si="67"/>
        <v>1349</v>
      </c>
      <c r="J272" s="3"/>
      <c r="K272" s="2">
        <f>原始值!D272+VLOOKUP($H272,怪物强度修正!$A$2:$R$17,COLUMN(K272)-9,FALSE)</f>
        <v>34</v>
      </c>
      <c r="L272" s="2">
        <f>原始值!E272+VLOOKUP($H272,怪物强度修正!$A$2:$R$17,COLUMN(L272)-9,FALSE)</f>
        <v>52</v>
      </c>
      <c r="M272" s="2">
        <f t="shared" si="38"/>
        <v>34</v>
      </c>
      <c r="N272" s="2">
        <f t="shared" si="39"/>
        <v>52</v>
      </c>
      <c r="O272" s="2">
        <f>原始值!H272+VLOOKUP($H272,怪物强度修正!$A$2:$R$17,COLUMN(O272)-9,FALSE)</f>
        <v>0</v>
      </c>
      <c r="P272" s="2">
        <f>原始值!I272+VLOOKUP($H272,怪物强度修正!$A$2:$R$17,COLUMN(P272)-9,FALSE)</f>
        <v>0</v>
      </c>
      <c r="Q272" s="2">
        <f>原始值!J272+VLOOKUP($H272,怪物强度修正!$A$2:$R$17,COLUMN(Q272)-9,FALSE)</f>
        <v>17</v>
      </c>
      <c r="R272" s="2">
        <f>原始值!K272+VLOOKUP($H272,怪物强度修正!$A$2:$R$17,COLUMN(R272)-9,FALSE)</f>
        <v>17</v>
      </c>
      <c r="S272" s="2">
        <f>原始值!L272+VLOOKUP($H272,怪物强度修正!$A$2:$R$17,COLUMN(S272)-9,FALSE)</f>
        <v>25</v>
      </c>
      <c r="T272" s="2">
        <f>原始值!M272+VLOOKUP($H272,怪物强度修正!$A$2:$R$17,COLUMN(T272)-9,FALSE)</f>
        <v>25</v>
      </c>
      <c r="U272" s="2">
        <f>原始值!N272+VLOOKUP($H272,怪物强度修正!$A$2:$R$17,COLUMN(U272)-9,FALSE)</f>
        <v>1490</v>
      </c>
      <c r="V272" s="2">
        <v>1</v>
      </c>
      <c r="W272" s="2">
        <f>原始值!P272+VLOOKUP($H272,怪物强度修正!$A$2:$R$17,COLUMN(W272)-9,FALSE)</f>
        <v>15</v>
      </c>
      <c r="X272" s="2">
        <f>原始值!Q272+VLOOKUP($H272,怪物强度修正!$A$2:$R$17,COLUMN(X272)-9,FALSE)</f>
        <v>17</v>
      </c>
      <c r="Y272" s="2">
        <f>原始值!R272+VLOOKUP($H272,怪物强度修正!$A$2:$R$17,COLUMN(Y272)-9,FALSE)</f>
        <v>75</v>
      </c>
      <c r="Z272" s="2">
        <f>原始值!S272+VLOOKUP($H272,怪物强度修正!$A$2:$R$17,COLUMN(Z272)-9,FALSE)</f>
        <v>300</v>
      </c>
      <c r="AA272" s="2">
        <f>原始值!T272+VLOOKUP($H272,怪物强度修正!$A$2:$R$17,COLUMN(AA272)-9,FALSE)</f>
        <v>50</v>
      </c>
    </row>
    <row r="273" spans="1:27" s="2" customFormat="1">
      <c r="A273" s="2" t="str">
        <f t="shared" si="34"/>
        <v>PhyType.NewNpcType_537</v>
      </c>
      <c r="B273" s="2" t="s">
        <v>137</v>
      </c>
      <c r="C273" s="2">
        <v>537</v>
      </c>
      <c r="D273" s="3">
        <v>537</v>
      </c>
      <c r="E273" s="3"/>
      <c r="F273" s="3"/>
      <c r="G273" s="2" t="str">
        <f t="shared" si="65"/>
        <v>祖玛卫士锤精英</v>
      </c>
      <c r="H273" s="2" t="str">
        <f t="shared" si="66"/>
        <v>祖玛寺庙</v>
      </c>
      <c r="I273" s="2">
        <f t="shared" si="67"/>
        <v>1439</v>
      </c>
      <c r="J273" s="3"/>
      <c r="K273" s="2">
        <f>原始值!D273+VLOOKUP($H273,怪物强度修正!$A$2:$R$17,COLUMN(K273)-9,FALSE)</f>
        <v>37</v>
      </c>
      <c r="L273" s="2">
        <f>原始值!E273+VLOOKUP($H273,怪物强度修正!$A$2:$R$17,COLUMN(L273)-9,FALSE)</f>
        <v>55</v>
      </c>
      <c r="M273" s="2">
        <f t="shared" si="38"/>
        <v>37</v>
      </c>
      <c r="N273" s="2">
        <f t="shared" si="39"/>
        <v>55</v>
      </c>
      <c r="O273" s="2">
        <f>原始值!H273+VLOOKUP($H273,怪物强度修正!$A$2:$R$17,COLUMN(O273)-9,FALSE)</f>
        <v>0</v>
      </c>
      <c r="P273" s="2">
        <f>原始值!I273+VLOOKUP($H273,怪物强度修正!$A$2:$R$17,COLUMN(P273)-9,FALSE)</f>
        <v>0</v>
      </c>
      <c r="Q273" s="2">
        <f>原始值!J273+VLOOKUP($H273,怪物强度修正!$A$2:$R$17,COLUMN(Q273)-9,FALSE)</f>
        <v>21</v>
      </c>
      <c r="R273" s="2">
        <f>原始值!K273+VLOOKUP($H273,怪物强度修正!$A$2:$R$17,COLUMN(R273)-9,FALSE)</f>
        <v>21</v>
      </c>
      <c r="S273" s="2">
        <f>原始值!L273+VLOOKUP($H273,怪物强度修正!$A$2:$R$17,COLUMN(S273)-9,FALSE)</f>
        <v>30</v>
      </c>
      <c r="T273" s="2">
        <f>原始值!M273+VLOOKUP($H273,怪物强度修正!$A$2:$R$17,COLUMN(T273)-9,FALSE)</f>
        <v>30</v>
      </c>
      <c r="U273" s="2">
        <f>原始值!N273+VLOOKUP($H273,怪物强度修正!$A$2:$R$17,COLUMN(U273)-9,FALSE)</f>
        <v>1490</v>
      </c>
      <c r="V273" s="2">
        <v>1</v>
      </c>
      <c r="W273" s="2">
        <f>原始值!P273+VLOOKUP($H273,怪物强度修正!$A$2:$R$17,COLUMN(W273)-9,FALSE)</f>
        <v>15</v>
      </c>
      <c r="X273" s="2">
        <f>原始值!Q273+VLOOKUP($H273,怪物强度修正!$A$2:$R$17,COLUMN(X273)-9,FALSE)</f>
        <v>17</v>
      </c>
      <c r="Y273" s="2">
        <f>原始值!R273+VLOOKUP($H273,怪物强度修正!$A$2:$R$17,COLUMN(Y273)-9,FALSE)</f>
        <v>75</v>
      </c>
      <c r="Z273" s="2">
        <f>原始值!S273+VLOOKUP($H273,怪物强度修正!$A$2:$R$17,COLUMN(Z273)-9,FALSE)</f>
        <v>300</v>
      </c>
      <c r="AA273" s="2">
        <f>原始值!T273+VLOOKUP($H273,怪物强度修正!$A$2:$R$17,COLUMN(AA273)-9,FALSE)</f>
        <v>50</v>
      </c>
    </row>
    <row r="274" spans="1:27" s="2" customFormat="1">
      <c r="A274" s="2" t="str">
        <f t="shared" ref="A274:A276" si="68">"PhyType.NewNpcType_"&amp;D274</f>
        <v>PhyType.NewNpcType_541</v>
      </c>
      <c r="B274" s="2" t="s">
        <v>137</v>
      </c>
      <c r="C274" s="2">
        <v>541</v>
      </c>
      <c r="D274" s="3">
        <v>541</v>
      </c>
      <c r="E274" s="3"/>
      <c r="F274" s="3"/>
      <c r="G274" s="2" t="str">
        <f t="shared" si="65"/>
        <v>角蝇精英</v>
      </c>
      <c r="H274" s="2" t="str">
        <f t="shared" si="66"/>
        <v>祖玛寺庙</v>
      </c>
      <c r="I274" s="2">
        <f t="shared" si="67"/>
        <v>899</v>
      </c>
      <c r="J274" s="3"/>
      <c r="K274" s="2">
        <f>原始值!D274+VLOOKUP($H274,怪物强度修正!$A$2:$R$17,COLUMN(K274)-9,FALSE)</f>
        <v>4</v>
      </c>
      <c r="L274" s="2">
        <f>原始值!E274+VLOOKUP($H274,怪物强度修正!$A$2:$R$17,COLUMN(L274)-9,FALSE)</f>
        <v>4</v>
      </c>
      <c r="M274" s="2">
        <f t="shared" si="38"/>
        <v>4</v>
      </c>
      <c r="N274" s="2">
        <f t="shared" si="39"/>
        <v>4</v>
      </c>
      <c r="O274" s="2">
        <f>原始值!H274+VLOOKUP($H274,怪物强度修正!$A$2:$R$17,COLUMN(O274)-9,FALSE)</f>
        <v>0</v>
      </c>
      <c r="P274" s="2">
        <f>原始值!I274+VLOOKUP($H274,怪物强度修正!$A$2:$R$17,COLUMN(P274)-9,FALSE)</f>
        <v>0</v>
      </c>
      <c r="Q274" s="2">
        <f>原始值!J274+VLOOKUP($H274,怪物强度修正!$A$2:$R$17,COLUMN(Q274)-9,FALSE)</f>
        <v>1</v>
      </c>
      <c r="R274" s="2">
        <f>原始值!K274+VLOOKUP($H274,怪物强度修正!$A$2:$R$17,COLUMN(R274)-9,FALSE)</f>
        <v>1</v>
      </c>
      <c r="S274" s="2">
        <f>原始值!L274+VLOOKUP($H274,怪物强度修正!$A$2:$R$17,COLUMN(S274)-9,FALSE)</f>
        <v>16</v>
      </c>
      <c r="T274" s="2">
        <f>原始值!M274+VLOOKUP($H274,怪物强度修正!$A$2:$R$17,COLUMN(T274)-9,FALSE)</f>
        <v>16</v>
      </c>
      <c r="U274" s="2">
        <f>原始值!N274+VLOOKUP($H274,怪物强度修正!$A$2:$R$17,COLUMN(U274)-9,FALSE)</f>
        <v>600</v>
      </c>
      <c r="V274" s="2">
        <v>1</v>
      </c>
      <c r="W274" s="2">
        <f>原始值!P274+VLOOKUP($H274,怪物强度修正!$A$2:$R$17,COLUMN(W274)-9,FALSE)</f>
        <v>1</v>
      </c>
      <c r="X274" s="2">
        <f>原始值!Q274+VLOOKUP($H274,怪物强度修正!$A$2:$R$17,COLUMN(X274)-9,FALSE)</f>
        <v>1</v>
      </c>
      <c r="Y274" s="2">
        <f>原始值!R274+VLOOKUP($H274,怪物强度修正!$A$2:$R$17,COLUMN(Y274)-9,FALSE)</f>
        <v>75</v>
      </c>
      <c r="Z274" s="2">
        <f>原始值!S274+VLOOKUP($H274,怪物强度修正!$A$2:$R$17,COLUMN(Z274)-9,FALSE)</f>
        <v>300</v>
      </c>
      <c r="AA274" s="2">
        <f>原始值!T274+VLOOKUP($H274,怪物强度修正!$A$2:$R$17,COLUMN(AA274)-9,FALSE)</f>
        <v>50</v>
      </c>
    </row>
    <row r="275" spans="1:27" s="2" customFormat="1">
      <c r="A275" s="2" t="str">
        <f t="shared" si="68"/>
        <v>PhyType.NewNpcType_539</v>
      </c>
      <c r="B275" s="2" t="s">
        <v>137</v>
      </c>
      <c r="C275" s="2">
        <v>539</v>
      </c>
      <c r="D275" s="3">
        <v>539</v>
      </c>
      <c r="E275" s="3"/>
      <c r="F275" s="3"/>
      <c r="G275" s="2" t="str">
        <f t="shared" si="65"/>
        <v>蝙蝠精英</v>
      </c>
      <c r="H275" s="2" t="str">
        <f t="shared" si="66"/>
        <v>祖玛寺庙</v>
      </c>
      <c r="I275" s="2">
        <f t="shared" si="67"/>
        <v>14</v>
      </c>
      <c r="J275" s="3"/>
      <c r="K275" s="2">
        <f>原始值!D275+VLOOKUP($H275,怪物强度修正!$A$2:$R$17,COLUMN(K275)-9,FALSE)</f>
        <v>4</v>
      </c>
      <c r="L275" s="2">
        <f>原始值!E275+VLOOKUP($H275,怪物强度修正!$A$2:$R$17,COLUMN(L275)-9,FALSE)</f>
        <v>37</v>
      </c>
      <c r="M275" s="2">
        <f t="shared" si="38"/>
        <v>4</v>
      </c>
      <c r="N275" s="2">
        <f t="shared" si="39"/>
        <v>37</v>
      </c>
      <c r="O275" s="2">
        <f>原始值!H275+VLOOKUP($H275,怪物强度修正!$A$2:$R$17,COLUMN(O275)-9,FALSE)</f>
        <v>0</v>
      </c>
      <c r="P275" s="2">
        <f>原始值!I275+VLOOKUP($H275,怪物强度修正!$A$2:$R$17,COLUMN(P275)-9,FALSE)</f>
        <v>0</v>
      </c>
      <c r="Q275" s="2">
        <f>原始值!J275+VLOOKUP($H275,怪物强度修正!$A$2:$R$17,COLUMN(Q275)-9,FALSE)</f>
        <v>1</v>
      </c>
      <c r="R275" s="2">
        <f>原始值!K275+VLOOKUP($H275,怪物强度修正!$A$2:$R$17,COLUMN(R275)-9,FALSE)</f>
        <v>1</v>
      </c>
      <c r="S275" s="2">
        <f>原始值!L275+VLOOKUP($H275,怪物强度修正!$A$2:$R$17,COLUMN(S275)-9,FALSE)</f>
        <v>7</v>
      </c>
      <c r="T275" s="2">
        <f>原始值!M275+VLOOKUP($H275,怪物强度修正!$A$2:$R$17,COLUMN(T275)-9,FALSE)</f>
        <v>7</v>
      </c>
      <c r="U275" s="2">
        <f>原始值!N275+VLOOKUP($H275,怪物强度修正!$A$2:$R$17,COLUMN(U275)-9,FALSE)</f>
        <v>10</v>
      </c>
      <c r="V275" s="2">
        <v>1</v>
      </c>
      <c r="W275" s="2">
        <f>原始值!P275+VLOOKUP($H275,怪物强度修正!$A$2:$R$17,COLUMN(W275)-9,FALSE)</f>
        <v>18</v>
      </c>
      <c r="X275" s="2">
        <f>原始值!Q275+VLOOKUP($H275,怪物强度修正!$A$2:$R$17,COLUMN(X275)-9,FALSE)</f>
        <v>5</v>
      </c>
      <c r="Y275" s="2">
        <f>原始值!R275+VLOOKUP($H275,怪物强度修正!$A$2:$R$17,COLUMN(Y275)-9,FALSE)</f>
        <v>75</v>
      </c>
      <c r="Z275" s="2">
        <f>原始值!S275+VLOOKUP($H275,怪物强度修正!$A$2:$R$17,COLUMN(Z275)-9,FALSE)</f>
        <v>300</v>
      </c>
      <c r="AA275" s="2">
        <f>原始值!T275+VLOOKUP($H275,怪物强度修正!$A$2:$R$17,COLUMN(AA275)-9,FALSE)</f>
        <v>50</v>
      </c>
    </row>
    <row r="276" spans="1:27" s="2" customFormat="1">
      <c r="A276" s="2" t="str">
        <f t="shared" si="68"/>
        <v>PhyType.NewNpcType_540</v>
      </c>
      <c r="B276" s="2" t="s">
        <v>137</v>
      </c>
      <c r="C276" s="2">
        <v>540</v>
      </c>
      <c r="D276" s="3">
        <v>540</v>
      </c>
      <c r="E276" s="3"/>
      <c r="F276" s="3"/>
      <c r="G276" s="2" t="str">
        <f t="shared" si="65"/>
        <v>楔蛾精英</v>
      </c>
      <c r="H276" s="2" t="str">
        <f t="shared" si="66"/>
        <v>祖玛寺庙</v>
      </c>
      <c r="I276" s="2">
        <f t="shared" si="67"/>
        <v>1049</v>
      </c>
      <c r="J276" s="3"/>
      <c r="K276" s="2">
        <f>原始值!D276+VLOOKUP($H276,怪物强度修正!$A$2:$R$17,COLUMN(K276)-9,FALSE)</f>
        <v>24</v>
      </c>
      <c r="L276" s="2">
        <f>原始值!E276+VLOOKUP($H276,怪物强度修正!$A$2:$R$17,COLUMN(L276)-9,FALSE)</f>
        <v>31</v>
      </c>
      <c r="M276" s="2">
        <f t="shared" si="38"/>
        <v>24</v>
      </c>
      <c r="N276" s="2">
        <f t="shared" si="39"/>
        <v>31</v>
      </c>
      <c r="O276" s="2">
        <f>原始值!H276+VLOOKUP($H276,怪物强度修正!$A$2:$R$17,COLUMN(O276)-9,FALSE)</f>
        <v>0</v>
      </c>
      <c r="P276" s="2">
        <f>原始值!I276+VLOOKUP($H276,怪物强度修正!$A$2:$R$17,COLUMN(P276)-9,FALSE)</f>
        <v>0</v>
      </c>
      <c r="Q276" s="2">
        <f>原始值!J276+VLOOKUP($H276,怪物强度修正!$A$2:$R$17,COLUMN(Q276)-9,FALSE)</f>
        <v>1</v>
      </c>
      <c r="R276" s="2">
        <f>原始值!K276+VLOOKUP($H276,怪物强度修正!$A$2:$R$17,COLUMN(R276)-9,FALSE)</f>
        <v>1</v>
      </c>
      <c r="S276" s="2">
        <f>原始值!L276+VLOOKUP($H276,怪物强度修正!$A$2:$R$17,COLUMN(S276)-9,FALSE)</f>
        <v>15</v>
      </c>
      <c r="T276" s="2">
        <f>原始值!M276+VLOOKUP($H276,怪物强度修正!$A$2:$R$17,COLUMN(T276)-9,FALSE)</f>
        <v>15</v>
      </c>
      <c r="U276" s="2">
        <f>原始值!N276+VLOOKUP($H276,怪物强度修正!$A$2:$R$17,COLUMN(U276)-9,FALSE)</f>
        <v>660</v>
      </c>
      <c r="V276" s="2">
        <v>1</v>
      </c>
      <c r="W276" s="2">
        <f>原始值!P276+VLOOKUP($H276,怪物强度修正!$A$2:$R$17,COLUMN(W276)-9,FALSE)</f>
        <v>15</v>
      </c>
      <c r="X276" s="2">
        <f>原始值!Q276+VLOOKUP($H276,怪物强度修正!$A$2:$R$17,COLUMN(X276)-9,FALSE)</f>
        <v>17</v>
      </c>
      <c r="Y276" s="2">
        <f>原始值!R276+VLOOKUP($H276,怪物强度修正!$A$2:$R$17,COLUMN(Y276)-9,FALSE)</f>
        <v>75</v>
      </c>
      <c r="Z276" s="2">
        <f>原始值!S276+VLOOKUP($H276,怪物强度修正!$A$2:$R$17,COLUMN(Z276)-9,FALSE)</f>
        <v>300</v>
      </c>
      <c r="AA276" s="2">
        <f>原始值!T276+VLOOKUP($H276,怪物强度修正!$A$2:$R$17,COLUMN(AA276)-9,FALSE)</f>
        <v>50</v>
      </c>
    </row>
    <row r="277" spans="1:27" s="2" customFormat="1">
      <c r="A277" s="2" t="str">
        <f t="shared" ref="A277:A286" si="69">"PhyType.NewNpcType_"&amp;D277</f>
        <v>PhyType.NewNpcType_542</v>
      </c>
      <c r="B277" s="2" t="s">
        <v>137</v>
      </c>
      <c r="C277" s="2">
        <v>542</v>
      </c>
      <c r="D277" s="3">
        <v>542</v>
      </c>
      <c r="E277" s="3"/>
      <c r="F277" s="3"/>
      <c r="G277" s="2" t="str">
        <f t="shared" si="65"/>
        <v>鹰卫精英</v>
      </c>
      <c r="H277" s="2" t="str">
        <f t="shared" si="66"/>
        <v>赤月峡谷</v>
      </c>
      <c r="I277" s="2">
        <f t="shared" si="67"/>
        <v>1499</v>
      </c>
      <c r="J277" s="3"/>
      <c r="K277" s="2">
        <f>原始值!D277+VLOOKUP($H277,怪物强度修正!$A$2:$R$17,COLUMN(K277)-9,FALSE)</f>
        <v>50</v>
      </c>
      <c r="L277" s="2">
        <f>原始值!E277+VLOOKUP($H277,怪物强度修正!$A$2:$R$17,COLUMN(L277)-9,FALSE)</f>
        <v>80</v>
      </c>
      <c r="M277" s="2">
        <f t="shared" ref="M277:M286" si="70">K277</f>
        <v>50</v>
      </c>
      <c r="N277" s="2">
        <f t="shared" ref="N277:N286" si="71">L277</f>
        <v>80</v>
      </c>
      <c r="O277" s="2">
        <f>原始值!H277+VLOOKUP($H277,怪物强度修正!$A$2:$R$17,COLUMN(O277)-9,FALSE)</f>
        <v>0</v>
      </c>
      <c r="P277" s="2">
        <f>原始值!I277+VLOOKUP($H277,怪物强度修正!$A$2:$R$17,COLUMN(P277)-9,FALSE)</f>
        <v>0</v>
      </c>
      <c r="Q277" s="2">
        <f>原始值!J277+VLOOKUP($H277,怪物强度修正!$A$2:$R$17,COLUMN(Q277)-9,FALSE)</f>
        <v>21</v>
      </c>
      <c r="R277" s="2">
        <f>原始值!K277+VLOOKUP($H277,怪物强度修正!$A$2:$R$17,COLUMN(R277)-9,FALSE)</f>
        <v>21</v>
      </c>
      <c r="S277" s="2">
        <f>原始值!L277+VLOOKUP($H277,怪物强度修正!$A$2:$R$17,COLUMN(S277)-9,FALSE)</f>
        <v>34</v>
      </c>
      <c r="T277" s="2">
        <f>原始值!M277+VLOOKUP($H277,怪物强度修正!$A$2:$R$17,COLUMN(T277)-9,FALSE)</f>
        <v>34</v>
      </c>
      <c r="U277" s="2">
        <f>原始值!N277+VLOOKUP($H277,怪物强度修正!$A$2:$R$17,COLUMN(U277)-9,FALSE)</f>
        <v>4500</v>
      </c>
      <c r="V277" s="2">
        <v>2</v>
      </c>
      <c r="W277" s="2">
        <f>原始值!P277+VLOOKUP($H277,怪物强度修正!$A$2:$R$17,COLUMN(W277)-9,FALSE)</f>
        <v>15</v>
      </c>
      <c r="X277" s="2">
        <f>原始值!Q277+VLOOKUP($H277,怪物强度修正!$A$2:$R$17,COLUMN(X277)-9,FALSE)</f>
        <v>20</v>
      </c>
      <c r="Y277" s="2">
        <f>原始值!R277+VLOOKUP($H277,怪物强度修正!$A$2:$R$17,COLUMN(Y277)-9,FALSE)</f>
        <v>75</v>
      </c>
      <c r="Z277" s="2">
        <f>原始值!S277+VLOOKUP($H277,怪物强度修正!$A$2:$R$17,COLUMN(Z277)-9,FALSE)</f>
        <v>300</v>
      </c>
      <c r="AA277" s="2">
        <f>原始值!T277+VLOOKUP($H277,怪物强度修正!$A$2:$R$17,COLUMN(AA277)-9,FALSE)</f>
        <v>50</v>
      </c>
    </row>
    <row r="278" spans="1:27" s="2" customFormat="1">
      <c r="A278" s="2" t="str">
        <f t="shared" si="69"/>
        <v>PhyType.NewNpcType_543</v>
      </c>
      <c r="B278" s="2" t="s">
        <v>137</v>
      </c>
      <c r="C278" s="2">
        <v>543</v>
      </c>
      <c r="D278" s="3">
        <v>543</v>
      </c>
      <c r="E278" s="3"/>
      <c r="F278" s="3"/>
      <c r="G278" s="2" t="str">
        <f t="shared" si="65"/>
        <v>月魔蜘蛛精英</v>
      </c>
      <c r="H278" s="2" t="str">
        <f t="shared" si="66"/>
        <v>赤月峡谷</v>
      </c>
      <c r="I278" s="2">
        <f t="shared" si="67"/>
        <v>2099</v>
      </c>
      <c r="J278" s="3"/>
      <c r="K278" s="2">
        <f>原始值!D278+VLOOKUP($H278,怪物强度修正!$A$2:$R$17,COLUMN(K278)-9,FALSE)</f>
        <v>46</v>
      </c>
      <c r="L278" s="2">
        <f>原始值!E278+VLOOKUP($H278,怪物强度修正!$A$2:$R$17,COLUMN(L278)-9,FALSE)</f>
        <v>46</v>
      </c>
      <c r="M278" s="2">
        <f t="shared" si="70"/>
        <v>46</v>
      </c>
      <c r="N278" s="2">
        <f t="shared" si="71"/>
        <v>46</v>
      </c>
      <c r="O278" s="2">
        <f>原始值!H278+VLOOKUP($H278,怪物强度修正!$A$2:$R$17,COLUMN(O278)-9,FALSE)</f>
        <v>0</v>
      </c>
      <c r="P278" s="2">
        <f>原始值!I278+VLOOKUP($H278,怪物强度修正!$A$2:$R$17,COLUMN(P278)-9,FALSE)</f>
        <v>0</v>
      </c>
      <c r="Q278" s="2">
        <f>原始值!J278+VLOOKUP($H278,怪物强度修正!$A$2:$R$17,COLUMN(Q278)-9,FALSE)</f>
        <v>17</v>
      </c>
      <c r="R278" s="2">
        <f>原始值!K278+VLOOKUP($H278,怪物强度修正!$A$2:$R$17,COLUMN(R278)-9,FALSE)</f>
        <v>17</v>
      </c>
      <c r="S278" s="2">
        <f>原始值!L278+VLOOKUP($H278,怪物强度修正!$A$2:$R$17,COLUMN(S278)-9,FALSE)</f>
        <v>49</v>
      </c>
      <c r="T278" s="2">
        <f>原始值!M278+VLOOKUP($H278,怪物强度修正!$A$2:$R$17,COLUMN(T278)-9,FALSE)</f>
        <v>49</v>
      </c>
      <c r="U278" s="2">
        <f>原始值!N278+VLOOKUP($H278,怪物强度修正!$A$2:$R$17,COLUMN(U278)-9,FALSE)</f>
        <v>2550</v>
      </c>
      <c r="V278" s="2">
        <v>3</v>
      </c>
      <c r="W278" s="2">
        <f>原始值!P278+VLOOKUP($H278,怪物强度修正!$A$2:$R$17,COLUMN(W278)-9,FALSE)</f>
        <v>50</v>
      </c>
      <c r="X278" s="2">
        <f>原始值!Q278+VLOOKUP($H278,怪物强度修正!$A$2:$R$17,COLUMN(X278)-9,FALSE)</f>
        <v>20</v>
      </c>
      <c r="Y278" s="2">
        <f>原始值!R278+VLOOKUP($H278,怪物强度修正!$A$2:$R$17,COLUMN(Y278)-9,FALSE)</f>
        <v>75</v>
      </c>
      <c r="Z278" s="2">
        <f>原始值!S278+VLOOKUP($H278,怪物强度修正!$A$2:$R$17,COLUMN(Z278)-9,FALSE)</f>
        <v>300</v>
      </c>
      <c r="AA278" s="2">
        <f>原始值!T278+VLOOKUP($H278,怪物强度修正!$A$2:$R$17,COLUMN(AA278)-9,FALSE)</f>
        <v>50</v>
      </c>
    </row>
    <row r="279" spans="1:27" s="2" customFormat="1">
      <c r="A279" s="2" t="str">
        <f t="shared" si="69"/>
        <v>PhyType.NewNpcType_544</v>
      </c>
      <c r="B279" s="2" t="s">
        <v>137</v>
      </c>
      <c r="C279" s="2">
        <v>544</v>
      </c>
      <c r="D279" s="3">
        <v>544</v>
      </c>
      <c r="E279" s="3"/>
      <c r="F279" s="3"/>
      <c r="G279" s="2" t="str">
        <f t="shared" si="65"/>
        <v>天狼蜘蛛精英</v>
      </c>
      <c r="H279" s="2" t="str">
        <f t="shared" si="66"/>
        <v>赤月峡谷</v>
      </c>
      <c r="I279" s="2">
        <f t="shared" si="67"/>
        <v>1499</v>
      </c>
      <c r="J279" s="3"/>
      <c r="K279" s="2">
        <f>原始值!D279+VLOOKUP($H279,怪物强度修正!$A$2:$R$17,COLUMN(K279)-9,FALSE)</f>
        <v>38</v>
      </c>
      <c r="L279" s="2">
        <f>原始值!E279+VLOOKUP($H279,怪物强度修正!$A$2:$R$17,COLUMN(L279)-9,FALSE)</f>
        <v>56</v>
      </c>
      <c r="M279" s="2">
        <f t="shared" si="70"/>
        <v>38</v>
      </c>
      <c r="N279" s="2">
        <f t="shared" si="71"/>
        <v>56</v>
      </c>
      <c r="O279" s="2">
        <f>原始值!H279+VLOOKUP($H279,怪物强度修正!$A$2:$R$17,COLUMN(O279)-9,FALSE)</f>
        <v>0</v>
      </c>
      <c r="P279" s="2">
        <f>原始值!I279+VLOOKUP($H279,怪物强度修正!$A$2:$R$17,COLUMN(P279)-9,FALSE)</f>
        <v>0</v>
      </c>
      <c r="Q279" s="2">
        <f>原始值!J279+VLOOKUP($H279,怪物强度修正!$A$2:$R$17,COLUMN(Q279)-9,FALSE)</f>
        <v>11</v>
      </c>
      <c r="R279" s="2">
        <f>原始值!K279+VLOOKUP($H279,怪物强度修正!$A$2:$R$17,COLUMN(R279)-9,FALSE)</f>
        <v>11</v>
      </c>
      <c r="S279" s="2">
        <f>原始值!L279+VLOOKUP($H279,怪物强度修正!$A$2:$R$17,COLUMN(S279)-9,FALSE)</f>
        <v>37</v>
      </c>
      <c r="T279" s="2">
        <f>原始值!M279+VLOOKUP($H279,怪物强度修正!$A$2:$R$17,COLUMN(T279)-9,FALSE)</f>
        <v>37</v>
      </c>
      <c r="U279" s="2">
        <f>原始值!N279+VLOOKUP($H279,怪物强度修正!$A$2:$R$17,COLUMN(U279)-9,FALSE)</f>
        <v>1500</v>
      </c>
      <c r="V279" s="2">
        <v>4</v>
      </c>
      <c r="W279" s="2">
        <f>原始值!P279+VLOOKUP($H279,怪物强度修正!$A$2:$R$17,COLUMN(W279)-9,FALSE)</f>
        <v>15</v>
      </c>
      <c r="X279" s="2">
        <f>原始值!Q279+VLOOKUP($H279,怪物强度修正!$A$2:$R$17,COLUMN(X279)-9,FALSE)</f>
        <v>17</v>
      </c>
      <c r="Y279" s="2">
        <f>原始值!R279+VLOOKUP($H279,怪物强度修正!$A$2:$R$17,COLUMN(Y279)-9,FALSE)</f>
        <v>75</v>
      </c>
      <c r="Z279" s="2">
        <f>原始值!S279+VLOOKUP($H279,怪物强度修正!$A$2:$R$17,COLUMN(Z279)-9,FALSE)</f>
        <v>300</v>
      </c>
      <c r="AA279" s="2">
        <f>原始值!T279+VLOOKUP($H279,怪物强度修正!$A$2:$R$17,COLUMN(AA279)-9,FALSE)</f>
        <v>50</v>
      </c>
    </row>
    <row r="280" spans="1:27" s="2" customFormat="1">
      <c r="A280" s="2" t="str">
        <f t="shared" si="69"/>
        <v>PhyType.NewNpcType_545</v>
      </c>
      <c r="B280" s="2" t="s">
        <v>137</v>
      </c>
      <c r="C280" s="2">
        <v>545</v>
      </c>
      <c r="D280" s="3">
        <v>545</v>
      </c>
      <c r="E280" s="3"/>
      <c r="F280" s="3"/>
      <c r="G280" s="2" t="str">
        <f t="shared" si="65"/>
        <v>钢牙蜘蛛精英</v>
      </c>
      <c r="H280" s="2" t="str">
        <f t="shared" si="66"/>
        <v>赤月峡谷</v>
      </c>
      <c r="I280" s="2">
        <f t="shared" si="67"/>
        <v>2099</v>
      </c>
      <c r="J280" s="3"/>
      <c r="K280" s="2">
        <f>原始值!D280+VLOOKUP($H280,怪物强度修正!$A$2:$R$17,COLUMN(K280)-9,FALSE)</f>
        <v>58</v>
      </c>
      <c r="L280" s="2">
        <f>原始值!E280+VLOOKUP($H280,怪物强度修正!$A$2:$R$17,COLUMN(L280)-9,FALSE)</f>
        <v>80</v>
      </c>
      <c r="M280" s="2">
        <f t="shared" si="70"/>
        <v>58</v>
      </c>
      <c r="N280" s="2">
        <f t="shared" si="71"/>
        <v>80</v>
      </c>
      <c r="O280" s="2">
        <f>原始值!H280+VLOOKUP($H280,怪物强度修正!$A$2:$R$17,COLUMN(O280)-9,FALSE)</f>
        <v>0</v>
      </c>
      <c r="P280" s="2">
        <f>原始值!I280+VLOOKUP($H280,怪物强度修正!$A$2:$R$17,COLUMN(P280)-9,FALSE)</f>
        <v>0</v>
      </c>
      <c r="Q280" s="2">
        <f>原始值!J280+VLOOKUP($H280,怪物强度修正!$A$2:$R$17,COLUMN(Q280)-9,FALSE)</f>
        <v>18</v>
      </c>
      <c r="R280" s="2">
        <f>原始值!K280+VLOOKUP($H280,怪物强度修正!$A$2:$R$17,COLUMN(R280)-9,FALSE)</f>
        <v>18</v>
      </c>
      <c r="S280" s="2">
        <f>原始值!L280+VLOOKUP($H280,怪物强度修正!$A$2:$R$17,COLUMN(S280)-9,FALSE)</f>
        <v>57</v>
      </c>
      <c r="T280" s="2">
        <f>原始值!M280+VLOOKUP($H280,怪物强度修正!$A$2:$R$17,COLUMN(T280)-9,FALSE)</f>
        <v>57</v>
      </c>
      <c r="U280" s="2">
        <f>原始值!N280+VLOOKUP($H280,怪物强度修正!$A$2:$R$17,COLUMN(U280)-9,FALSE)</f>
        <v>2400</v>
      </c>
      <c r="V280" s="2">
        <v>5</v>
      </c>
      <c r="W280" s="2">
        <f>原始值!P280+VLOOKUP($H280,怪物强度修正!$A$2:$R$17,COLUMN(W280)-9,FALSE)</f>
        <v>20</v>
      </c>
      <c r="X280" s="2">
        <f>原始值!Q280+VLOOKUP($H280,怪物强度修正!$A$2:$R$17,COLUMN(X280)-9,FALSE)</f>
        <v>17</v>
      </c>
      <c r="Y280" s="2">
        <f>原始值!R280+VLOOKUP($H280,怪物强度修正!$A$2:$R$17,COLUMN(Y280)-9,FALSE)</f>
        <v>75</v>
      </c>
      <c r="Z280" s="2">
        <f>原始值!S280+VLOOKUP($H280,怪物强度修正!$A$2:$R$17,COLUMN(Z280)-9,FALSE)</f>
        <v>300</v>
      </c>
      <c r="AA280" s="2">
        <f>原始值!T280+VLOOKUP($H280,怪物强度修正!$A$2:$R$17,COLUMN(AA280)-9,FALSE)</f>
        <v>50</v>
      </c>
    </row>
    <row r="281" spans="1:27" s="2" customFormat="1">
      <c r="A281" s="2" t="str">
        <f t="shared" si="69"/>
        <v>PhyType.NewNpcType_546</v>
      </c>
      <c r="B281" s="2" t="s">
        <v>137</v>
      </c>
      <c r="C281" s="2">
        <v>546</v>
      </c>
      <c r="D281" s="3">
        <v>546</v>
      </c>
      <c r="E281" s="3"/>
      <c r="F281" s="3"/>
      <c r="G281" s="2" t="str">
        <f t="shared" si="65"/>
        <v>花吻蜘蛛精英</v>
      </c>
      <c r="H281" s="2" t="str">
        <f t="shared" si="66"/>
        <v>赤月峡谷</v>
      </c>
      <c r="I281" s="2">
        <f t="shared" si="67"/>
        <v>2039</v>
      </c>
      <c r="J281" s="3"/>
      <c r="K281" s="2">
        <f>原始值!D281+VLOOKUP($H281,怪物强度修正!$A$2:$R$17,COLUMN(K281)-9,FALSE)</f>
        <v>35</v>
      </c>
      <c r="L281" s="2">
        <f>原始值!E281+VLOOKUP($H281,怪物强度修正!$A$2:$R$17,COLUMN(L281)-9,FALSE)</f>
        <v>95</v>
      </c>
      <c r="M281" s="2">
        <f t="shared" si="70"/>
        <v>35</v>
      </c>
      <c r="N281" s="2">
        <f t="shared" si="71"/>
        <v>95</v>
      </c>
      <c r="O281" s="2">
        <f>原始值!H281+VLOOKUP($H281,怪物强度修正!$A$2:$R$17,COLUMN(O281)-9,FALSE)</f>
        <v>0</v>
      </c>
      <c r="P281" s="2">
        <f>原始值!I281+VLOOKUP($H281,怪物强度修正!$A$2:$R$17,COLUMN(P281)-9,FALSE)</f>
        <v>0</v>
      </c>
      <c r="Q281" s="2">
        <f>原始值!J281+VLOOKUP($H281,怪物强度修正!$A$2:$R$17,COLUMN(Q281)-9,FALSE)</f>
        <v>17</v>
      </c>
      <c r="R281" s="2">
        <f>原始值!K281+VLOOKUP($H281,怪物强度修正!$A$2:$R$17,COLUMN(R281)-9,FALSE)</f>
        <v>17</v>
      </c>
      <c r="S281" s="2">
        <f>原始值!L281+VLOOKUP($H281,怪物强度修正!$A$2:$R$17,COLUMN(S281)-9,FALSE)</f>
        <v>48</v>
      </c>
      <c r="T281" s="2">
        <f>原始值!M281+VLOOKUP($H281,怪物强度修正!$A$2:$R$17,COLUMN(T281)-9,FALSE)</f>
        <v>48</v>
      </c>
      <c r="U281" s="2">
        <f>原始值!N281+VLOOKUP($H281,怪物强度修正!$A$2:$R$17,COLUMN(U281)-9,FALSE)</f>
        <v>2250</v>
      </c>
      <c r="V281" s="2">
        <v>6</v>
      </c>
      <c r="W281" s="2">
        <f>原始值!P281+VLOOKUP($H281,怪物强度修正!$A$2:$R$17,COLUMN(W281)-9,FALSE)</f>
        <v>17</v>
      </c>
      <c r="X281" s="2">
        <f>原始值!Q281+VLOOKUP($H281,怪物强度修正!$A$2:$R$17,COLUMN(X281)-9,FALSE)</f>
        <v>25</v>
      </c>
      <c r="Y281" s="2">
        <f>原始值!R281+VLOOKUP($H281,怪物强度修正!$A$2:$R$17,COLUMN(Y281)-9,FALSE)</f>
        <v>75</v>
      </c>
      <c r="Z281" s="2">
        <f>原始值!S281+VLOOKUP($H281,怪物强度修正!$A$2:$R$17,COLUMN(Z281)-9,FALSE)</f>
        <v>300</v>
      </c>
      <c r="AA281" s="2">
        <f>原始值!T281+VLOOKUP($H281,怪物强度修正!$A$2:$R$17,COLUMN(AA281)-9,FALSE)</f>
        <v>50</v>
      </c>
    </row>
    <row r="282" spans="1:27" s="2" customFormat="1">
      <c r="A282" s="2" t="str">
        <f t="shared" si="69"/>
        <v>PhyType.NewNpcType_547</v>
      </c>
      <c r="B282" s="2" t="s">
        <v>137</v>
      </c>
      <c r="C282" s="2">
        <v>547</v>
      </c>
      <c r="D282" s="3">
        <v>547</v>
      </c>
      <c r="E282" s="3"/>
      <c r="F282" s="3"/>
      <c r="G282" s="2" t="str">
        <f t="shared" si="65"/>
        <v>黑锷蜘蛛精英</v>
      </c>
      <c r="H282" s="2" t="str">
        <f t="shared" si="66"/>
        <v>赤月峡谷</v>
      </c>
      <c r="I282" s="2">
        <f t="shared" si="67"/>
        <v>2699</v>
      </c>
      <c r="J282" s="3"/>
      <c r="K282" s="2">
        <f>原始值!D282+VLOOKUP($H282,怪物强度修正!$A$2:$R$17,COLUMN(K282)-9,FALSE)</f>
        <v>28</v>
      </c>
      <c r="L282" s="2">
        <f>原始值!E282+VLOOKUP($H282,怪物强度修正!$A$2:$R$17,COLUMN(L282)-9,FALSE)</f>
        <v>118</v>
      </c>
      <c r="M282" s="2">
        <f t="shared" si="70"/>
        <v>28</v>
      </c>
      <c r="N282" s="2">
        <f t="shared" si="71"/>
        <v>118</v>
      </c>
      <c r="O282" s="2">
        <f>原始值!H282+VLOOKUP($H282,怪物强度修正!$A$2:$R$17,COLUMN(O282)-9,FALSE)</f>
        <v>0</v>
      </c>
      <c r="P282" s="2">
        <f>原始值!I282+VLOOKUP($H282,怪物强度修正!$A$2:$R$17,COLUMN(P282)-9,FALSE)</f>
        <v>0</v>
      </c>
      <c r="Q282" s="2">
        <f>原始值!J282+VLOOKUP($H282,怪物强度修正!$A$2:$R$17,COLUMN(Q282)-9,FALSE)</f>
        <v>15</v>
      </c>
      <c r="R282" s="2">
        <f>原始值!K282+VLOOKUP($H282,怪物强度修正!$A$2:$R$17,COLUMN(R282)-9,FALSE)</f>
        <v>15</v>
      </c>
      <c r="S282" s="2">
        <f>原始值!L282+VLOOKUP($H282,怪物强度修正!$A$2:$R$17,COLUMN(S282)-9,FALSE)</f>
        <v>52</v>
      </c>
      <c r="T282" s="2">
        <f>原始值!M282+VLOOKUP($H282,怪物强度修正!$A$2:$R$17,COLUMN(T282)-9,FALSE)</f>
        <v>52</v>
      </c>
      <c r="U282" s="2">
        <f>原始值!N282+VLOOKUP($H282,怪物强度修正!$A$2:$R$17,COLUMN(U282)-9,FALSE)</f>
        <v>3600</v>
      </c>
      <c r="V282" s="2">
        <v>7</v>
      </c>
      <c r="W282" s="2">
        <f>原始值!P282+VLOOKUP($H282,怪物强度修正!$A$2:$R$17,COLUMN(W282)-9,FALSE)</f>
        <v>17</v>
      </c>
      <c r="X282" s="2">
        <f>原始值!Q282+VLOOKUP($H282,怪物强度修正!$A$2:$R$17,COLUMN(X282)-9,FALSE)</f>
        <v>17</v>
      </c>
      <c r="Y282" s="2">
        <f>原始值!R282+VLOOKUP($H282,怪物强度修正!$A$2:$R$17,COLUMN(Y282)-9,FALSE)</f>
        <v>75</v>
      </c>
      <c r="Z282" s="2">
        <f>原始值!S282+VLOOKUP($H282,怪物强度修正!$A$2:$R$17,COLUMN(Z282)-9,FALSE)</f>
        <v>300</v>
      </c>
      <c r="AA282" s="2">
        <f>原始值!T282+VLOOKUP($H282,怪物强度修正!$A$2:$R$17,COLUMN(AA282)-9,FALSE)</f>
        <v>50</v>
      </c>
    </row>
    <row r="283" spans="1:27" s="2" customFormat="1">
      <c r="A283" s="2" t="str">
        <f t="shared" si="69"/>
        <v>PhyType.NewNpcType_548</v>
      </c>
      <c r="B283" s="2" t="s">
        <v>137</v>
      </c>
      <c r="C283" s="2">
        <v>548</v>
      </c>
      <c r="D283" s="3">
        <v>548</v>
      </c>
      <c r="E283" s="3"/>
      <c r="F283" s="3"/>
      <c r="G283" s="2" t="str">
        <f t="shared" si="65"/>
        <v>幻影蜘蛛精英</v>
      </c>
      <c r="H283" s="2" t="str">
        <f t="shared" si="66"/>
        <v>赤月峡谷</v>
      </c>
      <c r="I283" s="2">
        <f t="shared" si="67"/>
        <v>2699</v>
      </c>
      <c r="J283" s="3"/>
      <c r="K283" s="2">
        <f>原始值!D283+VLOOKUP($H283,怪物强度修正!$A$2:$R$17,COLUMN(K283)-9,FALSE)</f>
        <v>5</v>
      </c>
      <c r="L283" s="2">
        <f>原始值!E283+VLOOKUP($H283,怪物强度修正!$A$2:$R$17,COLUMN(L283)-9,FALSE)</f>
        <v>5</v>
      </c>
      <c r="M283" s="2">
        <f t="shared" si="70"/>
        <v>5</v>
      </c>
      <c r="N283" s="2">
        <f t="shared" si="71"/>
        <v>5</v>
      </c>
      <c r="O283" s="2">
        <f>原始值!H283+VLOOKUP($H283,怪物强度修正!$A$2:$R$17,COLUMN(O283)-9,FALSE)</f>
        <v>0</v>
      </c>
      <c r="P283" s="2">
        <f>原始值!I283+VLOOKUP($H283,怪物强度修正!$A$2:$R$17,COLUMN(P283)-9,FALSE)</f>
        <v>0</v>
      </c>
      <c r="Q283" s="2">
        <f>原始值!J283+VLOOKUP($H283,怪物强度修正!$A$2:$R$17,COLUMN(Q283)-9,FALSE)</f>
        <v>14</v>
      </c>
      <c r="R283" s="2">
        <f>原始值!K283+VLOOKUP($H283,怪物强度修正!$A$2:$R$17,COLUMN(R283)-9,FALSE)</f>
        <v>14</v>
      </c>
      <c r="S283" s="2">
        <f>原始值!L283+VLOOKUP($H283,怪物强度修正!$A$2:$R$17,COLUMN(S283)-9,FALSE)</f>
        <v>42</v>
      </c>
      <c r="T283" s="2">
        <f>原始值!M283+VLOOKUP($H283,怪物强度修正!$A$2:$R$17,COLUMN(T283)-9,FALSE)</f>
        <v>42</v>
      </c>
      <c r="U283" s="2">
        <f>原始值!N283+VLOOKUP($H283,怪物强度修正!$A$2:$R$17,COLUMN(U283)-9,FALSE)</f>
        <v>3600</v>
      </c>
      <c r="V283" s="2">
        <v>8</v>
      </c>
      <c r="W283" s="2">
        <f>原始值!P283+VLOOKUP($H283,怪物强度修正!$A$2:$R$17,COLUMN(W283)-9,FALSE)</f>
        <v>1</v>
      </c>
      <c r="X283" s="2">
        <f>原始值!Q283+VLOOKUP($H283,怪物强度修正!$A$2:$R$17,COLUMN(X283)-9,FALSE)</f>
        <v>1</v>
      </c>
      <c r="Y283" s="2">
        <f>原始值!R283+VLOOKUP($H283,怪物强度修正!$A$2:$R$17,COLUMN(Y283)-9,FALSE)</f>
        <v>75</v>
      </c>
      <c r="Z283" s="2">
        <f>原始值!S283+VLOOKUP($H283,怪物强度修正!$A$2:$R$17,COLUMN(Z283)-9,FALSE)</f>
        <v>300</v>
      </c>
      <c r="AA283" s="2">
        <f>原始值!T283+VLOOKUP($H283,怪物强度修正!$A$2:$R$17,COLUMN(AA283)-9,FALSE)</f>
        <v>50</v>
      </c>
    </row>
    <row r="284" spans="1:27" s="2" customFormat="1">
      <c r="A284" s="2" t="str">
        <f t="shared" si="69"/>
        <v>PhyType.NewNpcType_549</v>
      </c>
      <c r="B284" s="2" t="s">
        <v>137</v>
      </c>
      <c r="C284" s="2">
        <v>549</v>
      </c>
      <c r="D284" s="3">
        <v>549</v>
      </c>
      <c r="E284" s="3"/>
      <c r="F284" s="3"/>
      <c r="G284" s="2" t="str">
        <f t="shared" si="65"/>
        <v>爆裂蜘蛛精英</v>
      </c>
      <c r="H284" s="2" t="str">
        <f t="shared" si="66"/>
        <v>赤月峡谷</v>
      </c>
      <c r="I284" s="2">
        <f t="shared" si="67"/>
        <v>20</v>
      </c>
      <c r="J284" s="3"/>
      <c r="K284" s="2">
        <f>原始值!D284+VLOOKUP($H284,怪物强度修正!$A$2:$R$17,COLUMN(K284)-9,FALSE)</f>
        <v>35</v>
      </c>
      <c r="L284" s="2">
        <f>原始值!E284+VLOOKUP($H284,怪物强度修正!$A$2:$R$17,COLUMN(L284)-9,FALSE)</f>
        <v>35</v>
      </c>
      <c r="M284" s="2">
        <f t="shared" si="70"/>
        <v>35</v>
      </c>
      <c r="N284" s="2">
        <f t="shared" si="71"/>
        <v>35</v>
      </c>
      <c r="O284" s="2">
        <f>原始值!H284+VLOOKUP($H284,怪物强度修正!$A$2:$R$17,COLUMN(O284)-9,FALSE)</f>
        <v>0</v>
      </c>
      <c r="P284" s="2">
        <f>原始值!I284+VLOOKUP($H284,怪物强度修正!$A$2:$R$17,COLUMN(P284)-9,FALSE)</f>
        <v>0</v>
      </c>
      <c r="Q284" s="2">
        <f>原始值!J284+VLOOKUP($H284,怪物强度修正!$A$2:$R$17,COLUMN(Q284)-9,FALSE)</f>
        <v>1</v>
      </c>
      <c r="R284" s="2">
        <f>原始值!K284+VLOOKUP($H284,怪物强度修正!$A$2:$R$17,COLUMN(R284)-9,FALSE)</f>
        <v>1</v>
      </c>
      <c r="S284" s="2">
        <f>原始值!L284+VLOOKUP($H284,怪物强度修正!$A$2:$R$17,COLUMN(S284)-9,FALSE)</f>
        <v>7</v>
      </c>
      <c r="T284" s="2">
        <f>原始值!M284+VLOOKUP($H284,怪物强度修正!$A$2:$R$17,COLUMN(T284)-9,FALSE)</f>
        <v>7</v>
      </c>
      <c r="U284" s="2">
        <f>原始值!N284+VLOOKUP($H284,怪物强度修正!$A$2:$R$17,COLUMN(U284)-9,FALSE)</f>
        <v>30</v>
      </c>
      <c r="V284" s="2">
        <v>9</v>
      </c>
      <c r="W284" s="2">
        <f>原始值!P284+VLOOKUP($H284,怪物强度修正!$A$2:$R$17,COLUMN(W284)-9,FALSE)</f>
        <v>30</v>
      </c>
      <c r="X284" s="2">
        <f>原始值!Q284+VLOOKUP($H284,怪物强度修正!$A$2:$R$17,COLUMN(X284)-9,FALSE)</f>
        <v>30</v>
      </c>
      <c r="Y284" s="2">
        <f>原始值!R284+VLOOKUP($H284,怪物强度修正!$A$2:$R$17,COLUMN(Y284)-9,FALSE)</f>
        <v>75</v>
      </c>
      <c r="Z284" s="2">
        <f>原始值!S284+VLOOKUP($H284,怪物强度修正!$A$2:$R$17,COLUMN(Z284)-9,FALSE)</f>
        <v>300</v>
      </c>
      <c r="AA284" s="2">
        <f>原始值!T284+VLOOKUP($H284,怪物强度修正!$A$2:$R$17,COLUMN(AA284)-9,FALSE)</f>
        <v>50</v>
      </c>
    </row>
    <row r="285" spans="1:27" s="2" customFormat="1">
      <c r="A285" s="2" t="str">
        <f t="shared" si="69"/>
        <v>PhyType.NewNpcType_550</v>
      </c>
      <c r="B285" s="2" t="s">
        <v>137</v>
      </c>
      <c r="C285" s="2">
        <v>550</v>
      </c>
      <c r="D285" s="3">
        <v>550</v>
      </c>
      <c r="E285" s="3"/>
      <c r="F285" s="3"/>
      <c r="G285" s="2" t="str">
        <f t="shared" si="65"/>
        <v>血巨人精英</v>
      </c>
      <c r="H285" s="2" t="str">
        <f t="shared" si="66"/>
        <v>赤月峡谷</v>
      </c>
      <c r="I285" s="2">
        <f t="shared" si="67"/>
        <v>2999</v>
      </c>
      <c r="J285" s="3"/>
      <c r="K285" s="2">
        <f>原始值!D285+VLOOKUP($H285,怪物强度修正!$A$2:$R$17,COLUMN(K285)-9,FALSE)</f>
        <v>58</v>
      </c>
      <c r="L285" s="2">
        <f>原始值!E285+VLOOKUP($H285,怪物强度修正!$A$2:$R$17,COLUMN(L285)-9,FALSE)</f>
        <v>110</v>
      </c>
      <c r="M285" s="2">
        <f t="shared" si="70"/>
        <v>58</v>
      </c>
      <c r="N285" s="2">
        <f t="shared" si="71"/>
        <v>110</v>
      </c>
      <c r="O285" s="2">
        <f>原始值!H285+VLOOKUP($H285,怪物强度修正!$A$2:$R$17,COLUMN(O285)-9,FALSE)</f>
        <v>0</v>
      </c>
      <c r="P285" s="2">
        <f>原始值!I285+VLOOKUP($H285,怪物强度修正!$A$2:$R$17,COLUMN(P285)-9,FALSE)</f>
        <v>0</v>
      </c>
      <c r="Q285" s="2">
        <f>原始值!J285+VLOOKUP($H285,怪物强度修正!$A$2:$R$17,COLUMN(Q285)-9,FALSE)</f>
        <v>21</v>
      </c>
      <c r="R285" s="2">
        <f>原始值!K285+VLOOKUP($H285,怪物强度修正!$A$2:$R$17,COLUMN(R285)-9,FALSE)</f>
        <v>21</v>
      </c>
      <c r="S285" s="2">
        <f>原始值!L285+VLOOKUP($H285,怪物强度修正!$A$2:$R$17,COLUMN(S285)-9,FALSE)</f>
        <v>52</v>
      </c>
      <c r="T285" s="2">
        <f>原始值!M285+VLOOKUP($H285,怪物强度修正!$A$2:$R$17,COLUMN(T285)-9,FALSE)</f>
        <v>52</v>
      </c>
      <c r="U285" s="2">
        <f>原始值!N285+VLOOKUP($H285,怪物强度修正!$A$2:$R$17,COLUMN(U285)-9,FALSE)</f>
        <v>3600</v>
      </c>
      <c r="V285" s="2">
        <v>10</v>
      </c>
      <c r="W285" s="2">
        <f>原始值!P285+VLOOKUP($H285,怪物强度修正!$A$2:$R$17,COLUMN(W285)-9,FALSE)</f>
        <v>17</v>
      </c>
      <c r="X285" s="2">
        <f>原始值!Q285+VLOOKUP($H285,怪物强度修正!$A$2:$R$17,COLUMN(X285)-9,FALSE)</f>
        <v>20</v>
      </c>
      <c r="Y285" s="2">
        <f>原始值!R285+VLOOKUP($H285,怪物强度修正!$A$2:$R$17,COLUMN(Y285)-9,FALSE)</f>
        <v>75</v>
      </c>
      <c r="Z285" s="2">
        <f>原始值!S285+VLOOKUP($H285,怪物强度修正!$A$2:$R$17,COLUMN(Z285)-9,FALSE)</f>
        <v>300</v>
      </c>
      <c r="AA285" s="2">
        <f>原始值!T285+VLOOKUP($H285,怪物强度修正!$A$2:$R$17,COLUMN(AA285)-9,FALSE)</f>
        <v>50</v>
      </c>
    </row>
    <row r="286" spans="1:27" s="2" customFormat="1">
      <c r="A286" s="2" t="str">
        <f t="shared" si="69"/>
        <v>PhyType.NewNpcType_551</v>
      </c>
      <c r="B286" s="2" t="s">
        <v>137</v>
      </c>
      <c r="C286" s="2">
        <v>551</v>
      </c>
      <c r="D286" s="3">
        <v>551</v>
      </c>
      <c r="E286" s="3"/>
      <c r="F286" s="3"/>
      <c r="G286" s="2" t="str">
        <f t="shared" si="65"/>
        <v>血僵尸精英</v>
      </c>
      <c r="H286" s="2" t="str">
        <f t="shared" si="66"/>
        <v>赤月峡谷</v>
      </c>
      <c r="I286" s="2">
        <f t="shared" si="67"/>
        <v>2399</v>
      </c>
      <c r="J286" s="3"/>
      <c r="K286" s="2">
        <f>原始值!D286+VLOOKUP($H286,怪物强度修正!$A$2:$R$17,COLUMN(K286)-9,FALSE)</f>
        <v>58</v>
      </c>
      <c r="L286" s="2">
        <f>原始值!E286+VLOOKUP($H286,怪物强度修正!$A$2:$R$17,COLUMN(L286)-9,FALSE)</f>
        <v>80</v>
      </c>
      <c r="M286" s="2">
        <f t="shared" si="70"/>
        <v>58</v>
      </c>
      <c r="N286" s="2">
        <f t="shared" si="71"/>
        <v>80</v>
      </c>
      <c r="O286" s="2">
        <f>原始值!H286+VLOOKUP($H286,怪物强度修正!$A$2:$R$17,COLUMN(O286)-9,FALSE)</f>
        <v>0</v>
      </c>
      <c r="P286" s="2">
        <f>原始值!I286+VLOOKUP($H286,怪物强度修正!$A$2:$R$17,COLUMN(P286)-9,FALSE)</f>
        <v>0</v>
      </c>
      <c r="Q286" s="2">
        <f>原始值!J286+VLOOKUP($H286,怪物强度修正!$A$2:$R$17,COLUMN(Q286)-9,FALSE)</f>
        <v>24</v>
      </c>
      <c r="R286" s="2">
        <f>原始值!K286+VLOOKUP($H286,怪物强度修正!$A$2:$R$17,COLUMN(R286)-9,FALSE)</f>
        <v>24</v>
      </c>
      <c r="S286" s="2">
        <f>原始值!L286+VLOOKUP($H286,怪物强度修正!$A$2:$R$17,COLUMN(S286)-9,FALSE)</f>
        <v>52</v>
      </c>
      <c r="T286" s="2">
        <f>原始值!M286+VLOOKUP($H286,怪物强度修正!$A$2:$R$17,COLUMN(T286)-9,FALSE)</f>
        <v>52</v>
      </c>
      <c r="U286" s="2">
        <f>原始值!N286+VLOOKUP($H286,怪物强度修正!$A$2:$R$17,COLUMN(U286)-9,FALSE)</f>
        <v>3600</v>
      </c>
      <c r="V286" s="2">
        <v>11</v>
      </c>
      <c r="W286" s="2">
        <f>原始值!P286+VLOOKUP($H286,怪物强度修正!$A$2:$R$17,COLUMN(W286)-9,FALSE)</f>
        <v>25</v>
      </c>
      <c r="X286" s="2">
        <f>原始值!Q286+VLOOKUP($H286,怪物强度修正!$A$2:$R$17,COLUMN(X286)-9,FALSE)</f>
        <v>10</v>
      </c>
      <c r="Y286" s="2">
        <f>原始值!R286+VLOOKUP($H286,怪物强度修正!$A$2:$R$17,COLUMN(Y286)-9,FALSE)</f>
        <v>75</v>
      </c>
      <c r="Z286" s="2">
        <f>原始值!S286+VLOOKUP($H286,怪物强度修正!$A$2:$R$17,COLUMN(Z286)-9,FALSE)</f>
        <v>300</v>
      </c>
      <c r="AA286" s="2">
        <f>原始值!T286+VLOOKUP($H286,怪物强度修正!$A$2:$R$17,COLUMN(AA286)-9,FALSE)</f>
        <v>50</v>
      </c>
    </row>
    <row r="287" spans="1:27" s="2" customFormat="1">
      <c r="A287" s="2" t="str">
        <f t="shared" ref="A287" si="72">"PhyType.NewNpcType_"&amp;D287</f>
        <v>PhyType.NewNpcType_552</v>
      </c>
      <c r="B287" s="2" t="s">
        <v>137</v>
      </c>
      <c r="C287" s="2">
        <v>552</v>
      </c>
      <c r="D287" s="3">
        <v>552</v>
      </c>
      <c r="E287" s="3"/>
      <c r="F287" s="3"/>
      <c r="G287" s="2" t="str">
        <f t="shared" si="65"/>
        <v>暴牙蜘蛛精英</v>
      </c>
      <c r="H287" s="2" t="str">
        <f t="shared" si="66"/>
        <v>赤月峡谷</v>
      </c>
      <c r="I287" s="2">
        <f t="shared" si="67"/>
        <v>1199</v>
      </c>
      <c r="J287" s="3"/>
      <c r="K287" s="2">
        <f>原始值!D287+VLOOKUP($H287,怪物强度修正!$A$2:$R$17,COLUMN(K287)-9,FALSE)</f>
        <v>38</v>
      </c>
      <c r="L287" s="2">
        <f>原始值!E287+VLOOKUP($H287,怪物强度修正!$A$2:$R$17,COLUMN(L287)-9,FALSE)</f>
        <v>56</v>
      </c>
      <c r="M287" s="2">
        <f t="shared" ref="M287" si="73">K287</f>
        <v>38</v>
      </c>
      <c r="N287" s="2">
        <f t="shared" ref="N287" si="74">L287</f>
        <v>56</v>
      </c>
      <c r="O287" s="2">
        <f>原始值!H287+VLOOKUP($H287,怪物强度修正!$A$2:$R$17,COLUMN(O287)-9,FALSE)</f>
        <v>0</v>
      </c>
      <c r="P287" s="2">
        <f>原始值!I287+VLOOKUP($H287,怪物强度修正!$A$2:$R$17,COLUMN(P287)-9,FALSE)</f>
        <v>0</v>
      </c>
      <c r="Q287" s="2">
        <f>原始值!J287+VLOOKUP($H287,怪物强度修正!$A$2:$R$17,COLUMN(Q287)-9,FALSE)</f>
        <v>17</v>
      </c>
      <c r="R287" s="2">
        <f>原始值!K287+VLOOKUP($H287,怪物强度修正!$A$2:$R$17,COLUMN(R287)-9,FALSE)</f>
        <v>17</v>
      </c>
      <c r="S287" s="2">
        <f>原始值!L287+VLOOKUP($H287,怪物强度修正!$A$2:$R$17,COLUMN(S287)-9,FALSE)</f>
        <v>52</v>
      </c>
      <c r="T287" s="2">
        <f>原始值!M287+VLOOKUP($H287,怪物强度修正!$A$2:$R$17,COLUMN(T287)-9,FALSE)</f>
        <v>52</v>
      </c>
      <c r="U287" s="2">
        <f>原始值!N287+VLOOKUP($H287,怪物强度修正!$A$2:$R$17,COLUMN(U287)-9,FALSE)</f>
        <v>1500</v>
      </c>
      <c r="V287" s="2">
        <v>12</v>
      </c>
      <c r="W287" s="2">
        <f>原始值!P287+VLOOKUP($H287,怪物强度修正!$A$2:$R$17,COLUMN(W287)-9,FALSE)</f>
        <v>17</v>
      </c>
      <c r="X287" s="2">
        <f>原始值!Q287+VLOOKUP($H287,怪物强度修正!$A$2:$R$17,COLUMN(X287)-9,FALSE)</f>
        <v>17</v>
      </c>
      <c r="Y287" s="2">
        <f>原始值!R287+VLOOKUP($H287,怪物强度修正!$A$2:$R$17,COLUMN(Y287)-9,FALSE)</f>
        <v>75</v>
      </c>
      <c r="Z287" s="2">
        <f>原始值!S287+VLOOKUP($H287,怪物强度修正!$A$2:$R$17,COLUMN(Z287)-9,FALSE)</f>
        <v>300</v>
      </c>
      <c r="AA287" s="2">
        <f>原始值!T287+VLOOKUP($H287,怪物强度修正!$A$2:$R$17,COLUMN(AA287)-9,FALSE)</f>
        <v>50</v>
      </c>
    </row>
    <row r="288" spans="1:27" s="4" customFormat="1">
      <c r="A288" s="4" t="str">
        <f t="shared" si="34"/>
        <v>PhyType.NewNpcType_701</v>
      </c>
      <c r="B288" s="4" t="s">
        <v>137</v>
      </c>
      <c r="C288" s="4">
        <v>701</v>
      </c>
      <c r="D288" s="4">
        <v>701</v>
      </c>
      <c r="G288" s="4" t="s">
        <v>72</v>
      </c>
      <c r="H288" s="4" t="s">
        <v>120</v>
      </c>
      <c r="I288" s="4">
        <v>39</v>
      </c>
      <c r="K288" s="4">
        <v>5</v>
      </c>
      <c r="L288" s="4">
        <v>10</v>
      </c>
      <c r="M288" s="4">
        <f t="shared" si="38"/>
        <v>5</v>
      </c>
      <c r="N288" s="4">
        <f t="shared" si="39"/>
        <v>10</v>
      </c>
      <c r="O288" s="4">
        <f>原始值!H288+VLOOKUP($H288,怪物强度修正!$A$2:$R$17,COLUMN(O288)-9,FALSE)</f>
        <v>0</v>
      </c>
      <c r="P288" s="4">
        <f>原始值!I288+VLOOKUP($H288,怪物强度修正!$A$2:$R$17,COLUMN(P288)-9,FALSE)</f>
        <v>0</v>
      </c>
      <c r="Q288" s="4">
        <f>原始值!J288+VLOOKUP($H288,怪物强度修正!$A$2:$R$17,COLUMN(Q288)-9,FALSE)</f>
        <v>1</v>
      </c>
      <c r="R288" s="4">
        <f>原始值!K288+VLOOKUP($H288,怪物强度修正!$A$2:$R$17,COLUMN(R288)-9,FALSE)</f>
        <v>1</v>
      </c>
      <c r="S288" s="4">
        <f>原始值!L288+VLOOKUP($H288,怪物强度修正!$A$2:$R$17,COLUMN(S288)-9,FALSE)</f>
        <v>0</v>
      </c>
      <c r="T288" s="4">
        <f>原始值!M288+VLOOKUP($H288,怪物强度修正!$A$2:$R$17,COLUMN(T288)-9,FALSE)</f>
        <v>0</v>
      </c>
      <c r="U288" s="4">
        <f>原始值!N288+VLOOKUP($H288,怪物强度修正!$A$2:$R$17,COLUMN(U288)-9,FALSE)</f>
        <v>60</v>
      </c>
      <c r="V288" s="4">
        <v>1</v>
      </c>
      <c r="W288" s="4">
        <v>9</v>
      </c>
      <c r="X288" s="4">
        <f>原始值!Q288+VLOOKUP($H288,怪物强度修正!$A$2:$R$17,COLUMN(X288)-9,FALSE)</f>
        <v>7</v>
      </c>
      <c r="Y288" s="4">
        <f>原始值!R288+VLOOKUP($H288,怪物强度修正!$A$2:$R$17,COLUMN(Y288)-9,FALSE)</f>
        <v>75</v>
      </c>
      <c r="Z288" s="4">
        <f>原始值!S288+VLOOKUP($H288,怪物强度修正!$A$2:$R$17,COLUMN(Z288)-9,FALSE)</f>
        <v>300</v>
      </c>
      <c r="AA288" s="4">
        <f>原始值!T288+VLOOKUP($H288,怪物强度修正!$A$2:$R$17,COLUMN(AA288)-9,FALSE)</f>
        <v>50</v>
      </c>
    </row>
    <row r="289" spans="1:27" s="4" customFormat="1">
      <c r="A289" s="4" t="str">
        <f t="shared" si="34"/>
        <v>PhyType.NewNpcType_702</v>
      </c>
      <c r="B289" s="4" t="s">
        <v>137</v>
      </c>
      <c r="C289" s="4">
        <v>702</v>
      </c>
      <c r="D289" s="4">
        <v>702</v>
      </c>
      <c r="G289" s="4" t="s">
        <v>73</v>
      </c>
      <c r="H289" s="4" t="s">
        <v>88</v>
      </c>
      <c r="I289" s="4">
        <v>59</v>
      </c>
      <c r="K289" s="4">
        <f>原始值!D289+VLOOKUP($H289,怪物强度修正!$A$2:$R$17,COLUMN(K289)-9,FALSE)</f>
        <v>6</v>
      </c>
      <c r="L289" s="4">
        <f>原始值!E289+VLOOKUP($H289,怪物强度修正!$A$2:$R$17,COLUMN(L289)-9,FALSE)</f>
        <v>14</v>
      </c>
      <c r="M289" s="4">
        <f t="shared" si="38"/>
        <v>6</v>
      </c>
      <c r="N289" s="4">
        <f t="shared" si="39"/>
        <v>14</v>
      </c>
      <c r="O289" s="4">
        <f>原始值!H289+VLOOKUP($H289,怪物强度修正!$A$2:$R$17,COLUMN(O289)-9,FALSE)</f>
        <v>0</v>
      </c>
      <c r="P289" s="4">
        <f>原始值!I289+VLOOKUP($H289,怪物强度修正!$A$2:$R$17,COLUMN(P289)-9,FALSE)</f>
        <v>0</v>
      </c>
      <c r="Q289" s="4">
        <f>原始值!J289+VLOOKUP($H289,怪物强度修正!$A$2:$R$17,COLUMN(Q289)-9,FALSE)</f>
        <v>1</v>
      </c>
      <c r="R289" s="4">
        <f>原始值!K289+VLOOKUP($H289,怪物强度修正!$A$2:$R$17,COLUMN(R289)-9,FALSE)</f>
        <v>1</v>
      </c>
      <c r="S289" s="4">
        <f>原始值!L289+VLOOKUP($H289,怪物强度修正!$A$2:$R$17,COLUMN(S289)-9,FALSE)</f>
        <v>0</v>
      </c>
      <c r="T289" s="4">
        <f>原始值!M289+VLOOKUP($H289,怪物强度修正!$A$2:$R$17,COLUMN(T289)-9,FALSE)</f>
        <v>0</v>
      </c>
      <c r="U289" s="4">
        <f>原始值!N289+VLOOKUP($H289,怪物强度修正!$A$2:$R$17,COLUMN(U289)-9,FALSE)</f>
        <v>80</v>
      </c>
      <c r="V289" s="4">
        <v>1</v>
      </c>
      <c r="W289" s="4">
        <f>原始值!P289+VLOOKUP($H289,怪物强度修正!$A$2:$R$17,COLUMN(W289)-9,FALSE)</f>
        <v>9</v>
      </c>
      <c r="X289" s="4">
        <f>原始值!Q289+VLOOKUP($H289,怪物强度修正!$A$2:$R$17,COLUMN(X289)-9,FALSE)</f>
        <v>9</v>
      </c>
      <c r="Y289" s="4">
        <f>原始值!R289+VLOOKUP($H289,怪物强度修正!$A$2:$R$17,COLUMN(Y289)-9,FALSE)</f>
        <v>75</v>
      </c>
      <c r="Z289" s="4">
        <f>原始值!S289+VLOOKUP($H289,怪物强度修正!$A$2:$R$17,COLUMN(Z289)-9,FALSE)</f>
        <v>300</v>
      </c>
      <c r="AA289" s="4">
        <f>原始值!T289+VLOOKUP($H289,怪物强度修正!$A$2:$R$17,COLUMN(AA289)-9,FALSE)</f>
        <v>50</v>
      </c>
    </row>
    <row r="290" spans="1:27" s="4" customFormat="1">
      <c r="A290" s="4" t="str">
        <f t="shared" si="34"/>
        <v>PhyType.NewNpcType_703</v>
      </c>
      <c r="B290" s="4" t="s">
        <v>137</v>
      </c>
      <c r="C290" s="4">
        <v>703</v>
      </c>
      <c r="D290" s="4">
        <v>703</v>
      </c>
      <c r="G290" s="4" t="s">
        <v>74</v>
      </c>
      <c r="H290" s="4" t="s">
        <v>88</v>
      </c>
      <c r="I290" s="4">
        <v>89</v>
      </c>
      <c r="K290" s="4">
        <f>原始值!D290+VLOOKUP($H290,怪物强度修正!$A$2:$R$17,COLUMN(K290)-9,FALSE)</f>
        <v>7</v>
      </c>
      <c r="L290" s="4">
        <f>原始值!E290+VLOOKUP($H290,怪物强度修正!$A$2:$R$17,COLUMN(L290)-9,FALSE)</f>
        <v>16</v>
      </c>
      <c r="M290" s="4">
        <f t="shared" si="38"/>
        <v>7</v>
      </c>
      <c r="N290" s="4">
        <f t="shared" si="39"/>
        <v>16</v>
      </c>
      <c r="O290" s="4">
        <f>原始值!H290+VLOOKUP($H290,怪物强度修正!$A$2:$R$17,COLUMN(O290)-9,FALSE)</f>
        <v>0</v>
      </c>
      <c r="P290" s="4">
        <f>原始值!I290+VLOOKUP($H290,怪物强度修正!$A$2:$R$17,COLUMN(P290)-9,FALSE)</f>
        <v>0</v>
      </c>
      <c r="Q290" s="4">
        <f>原始值!J290+VLOOKUP($H290,怪物强度修正!$A$2:$R$17,COLUMN(Q290)-9,FALSE)</f>
        <v>1</v>
      </c>
      <c r="R290" s="4">
        <f>原始值!K290+VLOOKUP($H290,怪物强度修正!$A$2:$R$17,COLUMN(R290)-9,FALSE)</f>
        <v>1</v>
      </c>
      <c r="S290" s="4">
        <f>原始值!L290+VLOOKUP($H290,怪物强度修正!$A$2:$R$17,COLUMN(S290)-9,FALSE)</f>
        <v>0</v>
      </c>
      <c r="T290" s="4">
        <f>原始值!M290+VLOOKUP($H290,怪物强度修正!$A$2:$R$17,COLUMN(T290)-9,FALSE)</f>
        <v>0</v>
      </c>
      <c r="U290" s="4">
        <f>原始值!N290+VLOOKUP($H290,怪物强度修正!$A$2:$R$17,COLUMN(U290)-9,FALSE)</f>
        <v>100</v>
      </c>
      <c r="V290" s="4">
        <v>1</v>
      </c>
      <c r="W290" s="4">
        <f>原始值!P290+VLOOKUP($H290,怪物强度修正!$A$2:$R$17,COLUMN(W290)-9,FALSE)</f>
        <v>10</v>
      </c>
      <c r="X290" s="4">
        <f>原始值!Q290+VLOOKUP($H290,怪物强度修正!$A$2:$R$17,COLUMN(X290)-9,FALSE)</f>
        <v>10</v>
      </c>
      <c r="Y290" s="4">
        <f>原始值!R290+VLOOKUP($H290,怪物强度修正!$A$2:$R$17,COLUMN(Y290)-9,FALSE)</f>
        <v>75</v>
      </c>
      <c r="Z290" s="4">
        <f>原始值!S290+VLOOKUP($H290,怪物强度修正!$A$2:$R$17,COLUMN(Z290)-9,FALSE)</f>
        <v>300</v>
      </c>
      <c r="AA290" s="4">
        <f>原始值!T290+VLOOKUP($H290,怪物强度修正!$A$2:$R$17,COLUMN(AA290)-9,FALSE)</f>
        <v>50</v>
      </c>
    </row>
    <row r="291" spans="1:27" s="4" customFormat="1">
      <c r="A291" s="4" t="str">
        <f t="shared" si="34"/>
        <v>PhyType.NewNpcType_704</v>
      </c>
      <c r="B291" s="4" t="s">
        <v>137</v>
      </c>
      <c r="C291" s="4">
        <v>704</v>
      </c>
      <c r="D291" s="4">
        <v>704</v>
      </c>
      <c r="G291" s="4" t="s">
        <v>75</v>
      </c>
      <c r="H291" s="4" t="s">
        <v>89</v>
      </c>
      <c r="I291" s="4">
        <v>299</v>
      </c>
      <c r="K291" s="4">
        <f>原始值!D291+VLOOKUP($H291,怪物强度修正!$A$2:$R$17,COLUMN(K291)-9,FALSE)</f>
        <v>12</v>
      </c>
      <c r="L291" s="4">
        <f>原始值!E291+VLOOKUP($H291,怪物强度修正!$A$2:$R$17,COLUMN(L291)-9,FALSE)</f>
        <v>25</v>
      </c>
      <c r="M291" s="4">
        <f t="shared" si="38"/>
        <v>12</v>
      </c>
      <c r="N291" s="4">
        <f t="shared" si="39"/>
        <v>25</v>
      </c>
      <c r="O291" s="4">
        <f>原始值!H291+VLOOKUP($H291,怪物强度修正!$A$2:$R$17,COLUMN(O291)-9,FALSE)</f>
        <v>0</v>
      </c>
      <c r="P291" s="4">
        <f>原始值!I291+VLOOKUP($H291,怪物强度修正!$A$2:$R$17,COLUMN(P291)-9,FALSE)</f>
        <v>0</v>
      </c>
      <c r="Q291" s="4">
        <f>原始值!J291+VLOOKUP($H291,怪物强度修正!$A$2:$R$17,COLUMN(Q291)-9,FALSE)</f>
        <v>1</v>
      </c>
      <c r="R291" s="4">
        <f>原始值!K291+VLOOKUP($H291,怪物强度修正!$A$2:$R$17,COLUMN(R291)-9,FALSE)</f>
        <v>1</v>
      </c>
      <c r="S291" s="4">
        <f>原始值!L291+VLOOKUP($H291,怪物强度修正!$A$2:$R$17,COLUMN(S291)-9,FALSE)</f>
        <v>1</v>
      </c>
      <c r="T291" s="4">
        <f>原始值!M291+VLOOKUP($H291,怪物强度修正!$A$2:$R$17,COLUMN(T291)-9,FALSE)</f>
        <v>1</v>
      </c>
      <c r="U291" s="4">
        <f>原始值!N291+VLOOKUP($H291,怪物强度修正!$A$2:$R$17,COLUMN(U291)-9,FALSE)</f>
        <v>700</v>
      </c>
      <c r="V291" s="4">
        <v>1</v>
      </c>
      <c r="W291" s="4">
        <f>原始值!P291+VLOOKUP($H291,怪物强度修正!$A$2:$R$17,COLUMN(W291)-9,FALSE)</f>
        <v>12</v>
      </c>
      <c r="X291" s="4">
        <f>原始值!Q291+VLOOKUP($H291,怪物强度修正!$A$2:$R$17,COLUMN(X291)-9,FALSE)</f>
        <v>14</v>
      </c>
      <c r="Y291" s="4">
        <f>原始值!R291+VLOOKUP($H291,怪物强度修正!$A$2:$R$17,COLUMN(Y291)-9,FALSE)</f>
        <v>75</v>
      </c>
      <c r="Z291" s="4">
        <f>原始值!S291+VLOOKUP($H291,怪物强度修正!$A$2:$R$17,COLUMN(Z291)-9,FALSE)</f>
        <v>300</v>
      </c>
      <c r="AA291" s="4">
        <f>原始值!T291+VLOOKUP($H291,怪物强度修正!$A$2:$R$17,COLUMN(AA291)-9,FALSE)</f>
        <v>50</v>
      </c>
    </row>
    <row r="292" spans="1:27" s="4" customFormat="1">
      <c r="A292" s="4" t="str">
        <f t="shared" si="34"/>
        <v>PhyType.NewNpcType_705</v>
      </c>
      <c r="B292" s="4" t="s">
        <v>137</v>
      </c>
      <c r="C292" s="4">
        <v>705</v>
      </c>
      <c r="D292" s="4">
        <v>705</v>
      </c>
      <c r="G292" s="4" t="s">
        <v>76</v>
      </c>
      <c r="H292" s="4" t="s">
        <v>98</v>
      </c>
      <c r="I292" s="4">
        <v>499</v>
      </c>
      <c r="K292" s="4">
        <f>原始值!D292+VLOOKUP($H292,怪物强度修正!$A$2:$R$17,COLUMN(K292)-9,FALSE)</f>
        <v>15</v>
      </c>
      <c r="L292" s="4">
        <f>原始值!E292+VLOOKUP($H292,怪物强度修正!$A$2:$R$17,COLUMN(L292)-9,FALSE)</f>
        <v>28</v>
      </c>
      <c r="M292" s="4">
        <f t="shared" si="38"/>
        <v>15</v>
      </c>
      <c r="N292" s="4">
        <f t="shared" si="39"/>
        <v>28</v>
      </c>
      <c r="O292" s="4">
        <f>原始值!H292+VLOOKUP($H292,怪物强度修正!$A$2:$R$17,COLUMN(O292)-9,FALSE)</f>
        <v>0</v>
      </c>
      <c r="P292" s="4">
        <f>原始值!I292+VLOOKUP($H292,怪物强度修正!$A$2:$R$17,COLUMN(P292)-9,FALSE)</f>
        <v>0</v>
      </c>
      <c r="Q292" s="4">
        <f>原始值!J292+VLOOKUP($H292,怪物强度修正!$A$2:$R$17,COLUMN(Q292)-9,FALSE)</f>
        <v>2</v>
      </c>
      <c r="R292" s="4">
        <f>原始值!K292+VLOOKUP($H292,怪物强度修正!$A$2:$R$17,COLUMN(R292)-9,FALSE)</f>
        <v>2</v>
      </c>
      <c r="S292" s="4">
        <f>原始值!L292+VLOOKUP($H292,怪物强度修正!$A$2:$R$17,COLUMN(S292)-9,FALSE)</f>
        <v>2</v>
      </c>
      <c r="T292" s="4">
        <f>原始值!M292+VLOOKUP($H292,怪物强度修正!$A$2:$R$17,COLUMN(T292)-9,FALSE)</f>
        <v>2</v>
      </c>
      <c r="U292" s="4">
        <f>原始值!N292+VLOOKUP($H292,怪物强度修正!$A$2:$R$17,COLUMN(U292)-9,FALSE)</f>
        <v>1000</v>
      </c>
      <c r="V292" s="4">
        <v>1</v>
      </c>
      <c r="W292" s="4">
        <f>原始值!P292+VLOOKUP($H292,怪物强度修正!$A$2:$R$17,COLUMN(W292)-9,FALSE)</f>
        <v>15</v>
      </c>
      <c r="X292" s="4">
        <f>原始值!Q292+VLOOKUP($H292,怪物强度修正!$A$2:$R$17,COLUMN(X292)-9,FALSE)</f>
        <v>16</v>
      </c>
      <c r="Y292" s="4">
        <f>原始值!R292+VLOOKUP($H292,怪物强度修正!$A$2:$R$17,COLUMN(Y292)-9,FALSE)</f>
        <v>75</v>
      </c>
      <c r="Z292" s="4">
        <f>原始值!S292+VLOOKUP($H292,怪物强度修正!$A$2:$R$17,COLUMN(Z292)-9,FALSE)</f>
        <v>300</v>
      </c>
      <c r="AA292" s="4">
        <f>原始值!T292+VLOOKUP($H292,怪物强度修正!$A$2:$R$17,COLUMN(AA292)-9,FALSE)</f>
        <v>50</v>
      </c>
    </row>
    <row r="293" spans="1:27" s="4" customFormat="1">
      <c r="A293" s="4" t="str">
        <f t="shared" si="34"/>
        <v>PhyType.NewNpcType_706</v>
      </c>
      <c r="B293" s="4" t="s">
        <v>137</v>
      </c>
      <c r="C293" s="4">
        <v>706</v>
      </c>
      <c r="D293" s="4">
        <v>706</v>
      </c>
      <c r="G293" s="4" t="s">
        <v>77</v>
      </c>
      <c r="H293" s="4" t="s">
        <v>99</v>
      </c>
      <c r="I293" s="4">
        <v>499</v>
      </c>
      <c r="K293" s="4">
        <f>原始值!D293+VLOOKUP($H293,怪物强度修正!$A$2:$R$17,COLUMN(K293)-9,FALSE)</f>
        <v>23</v>
      </c>
      <c r="L293" s="4">
        <f>原始值!E293+VLOOKUP($H293,怪物强度修正!$A$2:$R$17,COLUMN(L293)-9,FALSE)</f>
        <v>43</v>
      </c>
      <c r="M293" s="4">
        <f t="shared" si="38"/>
        <v>23</v>
      </c>
      <c r="N293" s="4">
        <f t="shared" si="39"/>
        <v>43</v>
      </c>
      <c r="O293" s="4">
        <f>原始值!H293+VLOOKUP($H293,怪物强度修正!$A$2:$R$17,COLUMN(O293)-9,FALSE)</f>
        <v>0</v>
      </c>
      <c r="P293" s="4">
        <f>原始值!I293+VLOOKUP($H293,怪物强度修正!$A$2:$R$17,COLUMN(P293)-9,FALSE)</f>
        <v>0</v>
      </c>
      <c r="Q293" s="4">
        <f>原始值!J293+VLOOKUP($H293,怪物强度修正!$A$2:$R$17,COLUMN(Q293)-9,FALSE)</f>
        <v>1</v>
      </c>
      <c r="R293" s="4">
        <f>原始值!K293+VLOOKUP($H293,怪物强度修正!$A$2:$R$17,COLUMN(R293)-9,FALSE)</f>
        <v>1</v>
      </c>
      <c r="S293" s="4">
        <f>原始值!L293+VLOOKUP($H293,怪物强度修正!$A$2:$R$17,COLUMN(S293)-9,FALSE)</f>
        <v>7</v>
      </c>
      <c r="T293" s="4">
        <f>原始值!M293+VLOOKUP($H293,怪物强度修正!$A$2:$R$17,COLUMN(T293)-9,FALSE)</f>
        <v>7</v>
      </c>
      <c r="U293" s="4">
        <f>原始值!N293+VLOOKUP($H293,怪物强度修正!$A$2:$R$17,COLUMN(U293)-9,FALSE)</f>
        <v>1000</v>
      </c>
      <c r="V293" s="4">
        <v>1</v>
      </c>
      <c r="W293" s="4">
        <f>原始值!P293+VLOOKUP($H293,怪物强度修正!$A$2:$R$17,COLUMN(W293)-9,FALSE)</f>
        <v>15</v>
      </c>
      <c r="X293" s="4">
        <f>原始值!Q293+VLOOKUP($H293,怪物强度修正!$A$2:$R$17,COLUMN(X293)-9,FALSE)</f>
        <v>16</v>
      </c>
      <c r="Y293" s="4">
        <f>原始值!R293+VLOOKUP($H293,怪物强度修正!$A$2:$R$17,COLUMN(Y293)-9,FALSE)</f>
        <v>75</v>
      </c>
      <c r="Z293" s="4">
        <f>原始值!S293+VLOOKUP($H293,怪物强度修正!$A$2:$R$17,COLUMN(Z293)-9,FALSE)</f>
        <v>300</v>
      </c>
      <c r="AA293" s="4">
        <f>原始值!T293+VLOOKUP($H293,怪物强度修正!$A$2:$R$17,COLUMN(AA293)-9,FALSE)</f>
        <v>50</v>
      </c>
    </row>
    <row r="294" spans="1:27" s="4" customFormat="1">
      <c r="A294" s="4" t="str">
        <f t="shared" ref="A294:A331" si="75">"PhyType.NewNpcType_"&amp;D294</f>
        <v>PhyType.NewNpcType_707</v>
      </c>
      <c r="B294" s="4" t="s">
        <v>137</v>
      </c>
      <c r="C294" s="4">
        <v>707</v>
      </c>
      <c r="D294" s="4">
        <v>707</v>
      </c>
      <c r="G294" s="4" t="s">
        <v>118</v>
      </c>
      <c r="H294" s="4" t="s">
        <v>119</v>
      </c>
      <c r="I294" s="4">
        <v>129</v>
      </c>
      <c r="K294" s="4">
        <f>原始值!D294+VLOOKUP($H294,怪物强度修正!$A$2:$R$17,COLUMN(K294)-9,FALSE)</f>
        <v>8</v>
      </c>
      <c r="L294" s="4">
        <f>原始值!E294+VLOOKUP($H294,怪物强度修正!$A$2:$R$17,COLUMN(L294)-9,FALSE)</f>
        <v>19</v>
      </c>
      <c r="M294" s="4">
        <f t="shared" si="38"/>
        <v>8</v>
      </c>
      <c r="N294" s="4">
        <f t="shared" si="39"/>
        <v>19</v>
      </c>
      <c r="O294" s="4">
        <f>原始值!H294+VLOOKUP($H294,怪物强度修正!$A$2:$R$17,COLUMN(O294)-9,FALSE)</f>
        <v>0</v>
      </c>
      <c r="P294" s="4">
        <f>原始值!I294+VLOOKUP($H294,怪物强度修正!$A$2:$R$17,COLUMN(P294)-9,FALSE)</f>
        <v>0</v>
      </c>
      <c r="Q294" s="4">
        <f>原始值!J294+VLOOKUP($H294,怪物强度修正!$A$2:$R$17,COLUMN(Q294)-9,FALSE)</f>
        <v>1</v>
      </c>
      <c r="R294" s="4">
        <f>原始值!K294+VLOOKUP($H294,怪物强度修正!$A$2:$R$17,COLUMN(R294)-9,FALSE)</f>
        <v>1</v>
      </c>
      <c r="S294" s="4">
        <f>原始值!L294+VLOOKUP($H294,怪物强度修正!$A$2:$R$17,COLUMN(S294)-9,FALSE)</f>
        <v>0</v>
      </c>
      <c r="T294" s="4">
        <f>原始值!M294+VLOOKUP($H294,怪物强度修正!$A$2:$R$17,COLUMN(T294)-9,FALSE)</f>
        <v>0</v>
      </c>
      <c r="U294" s="4">
        <f>原始值!N294+VLOOKUP($H294,怪物强度修正!$A$2:$R$17,COLUMN(U294)-9,FALSE)</f>
        <v>130</v>
      </c>
      <c r="V294" s="4">
        <v>1</v>
      </c>
      <c r="W294" s="4">
        <f>原始值!P294+VLOOKUP($H294,怪物强度修正!$A$2:$R$17,COLUMN(W294)-9,FALSE)</f>
        <v>15</v>
      </c>
      <c r="X294" s="4">
        <f>原始值!Q294+VLOOKUP($H294,怪物强度修正!$A$2:$R$17,COLUMN(X294)-9,FALSE)</f>
        <v>15</v>
      </c>
      <c r="Y294" s="4">
        <f>原始值!R294+VLOOKUP($H294,怪物强度修正!$A$2:$R$17,COLUMN(Y294)-9,FALSE)</f>
        <v>75</v>
      </c>
      <c r="Z294" s="4">
        <f>原始值!S294+VLOOKUP($H294,怪物强度修正!$A$2:$R$17,COLUMN(Z294)-9,FALSE)</f>
        <v>300</v>
      </c>
      <c r="AA294" s="4">
        <f>原始值!T294+VLOOKUP($H294,怪物强度修正!$A$2:$R$17,COLUMN(AA294)-9,FALSE)</f>
        <v>50</v>
      </c>
    </row>
    <row r="295" spans="1:27" s="4" customFormat="1">
      <c r="A295" s="4" t="str">
        <f t="shared" ref="A295" si="76">"PhyType.NewNpcType_"&amp;D295</f>
        <v>PhyType.NewNpcType_708</v>
      </c>
      <c r="B295" s="4" t="s">
        <v>137</v>
      </c>
      <c r="C295" s="4">
        <v>708</v>
      </c>
      <c r="D295" s="4">
        <v>708</v>
      </c>
      <c r="G295" s="4" t="s">
        <v>151</v>
      </c>
      <c r="H295" s="4" t="s">
        <v>152</v>
      </c>
      <c r="I295" s="4">
        <v>49</v>
      </c>
      <c r="K295" s="4">
        <f>原始值!D295+VLOOKUP($H295,怪物强度修正!$A$2:$R$17,COLUMN(K295)-9,FALSE)</f>
        <v>2</v>
      </c>
      <c r="L295" s="4">
        <f>原始值!E295+VLOOKUP($H295,怪物强度修正!$A$2:$R$17,COLUMN(L295)-9,FALSE)</f>
        <v>3</v>
      </c>
      <c r="M295" s="4">
        <f t="shared" si="38"/>
        <v>2</v>
      </c>
      <c r="N295" s="4">
        <f t="shared" si="39"/>
        <v>3</v>
      </c>
      <c r="O295" s="4">
        <f>原始值!H295+VLOOKUP($H295,怪物强度修正!$A$2:$R$17,COLUMN(O295)-9,FALSE)</f>
        <v>0</v>
      </c>
      <c r="P295" s="4">
        <f>原始值!I295+VLOOKUP($H295,怪物强度修正!$A$2:$R$17,COLUMN(P295)-9,FALSE)</f>
        <v>0</v>
      </c>
      <c r="Q295" s="4">
        <f>原始值!J295+VLOOKUP($H295,怪物强度修正!$A$2:$R$17,COLUMN(Q295)-9,FALSE)</f>
        <v>0</v>
      </c>
      <c r="R295" s="4">
        <f>原始值!K295+VLOOKUP($H295,怪物强度修正!$A$2:$R$17,COLUMN(R295)-9,FALSE)</f>
        <v>0</v>
      </c>
      <c r="S295" s="4">
        <f>原始值!L295+VLOOKUP($H295,怪物强度修正!$A$2:$R$17,COLUMN(S295)-9,FALSE)</f>
        <v>0</v>
      </c>
      <c r="T295" s="4">
        <f>原始值!M295+VLOOKUP($H295,怪物强度修正!$A$2:$R$17,COLUMN(T295)-9,FALSE)</f>
        <v>0</v>
      </c>
      <c r="U295" s="4">
        <f>原始值!N295+VLOOKUP($H295,怪物强度修正!$A$2:$R$17,COLUMN(U295)-9,FALSE)</f>
        <v>110</v>
      </c>
      <c r="V295" s="4">
        <v>1</v>
      </c>
      <c r="W295" s="4">
        <f>原始值!P295+VLOOKUP($H295,怪物强度修正!$A$2:$R$17,COLUMN(W295)-9,FALSE)</f>
        <v>7</v>
      </c>
      <c r="X295" s="4">
        <f>原始值!Q295+VLOOKUP($H295,怪物强度修正!$A$2:$R$17,COLUMN(X295)-9,FALSE)</f>
        <v>7</v>
      </c>
      <c r="Y295" s="4">
        <f>原始值!R295+VLOOKUP($H295,怪物强度修正!$A$2:$R$17,COLUMN(Y295)-9,FALSE)</f>
        <v>75</v>
      </c>
      <c r="Z295" s="4">
        <f>原始值!S295+VLOOKUP($H295,怪物强度修正!$A$2:$R$17,COLUMN(Z295)-9,FALSE)</f>
        <v>300</v>
      </c>
      <c r="AA295" s="4">
        <f>原始值!T295+VLOOKUP($H295,怪物强度修正!$A$2:$R$17,COLUMN(AA295)-9,FALSE)</f>
        <v>50</v>
      </c>
    </row>
    <row r="296" spans="1:27" s="4" customFormat="1">
      <c r="A296" s="4" t="str">
        <f t="shared" ref="A296:A297" si="77">"PhyType.NewNpcType_"&amp;D296</f>
        <v>PhyType.NewNpcType_709</v>
      </c>
      <c r="B296" s="4" t="s">
        <v>137</v>
      </c>
      <c r="C296" s="4">
        <v>709</v>
      </c>
      <c r="D296" s="4">
        <v>709</v>
      </c>
      <c r="G296" s="4" t="s">
        <v>210</v>
      </c>
      <c r="H296" s="4" t="s">
        <v>211</v>
      </c>
      <c r="I296" s="4">
        <v>649</v>
      </c>
      <c r="K296" s="4">
        <f>原始值!D296+VLOOKUP($H296,怪物强度修正!$A$2:$R$17,COLUMN(K296)-9,FALSE)</f>
        <v>30</v>
      </c>
      <c r="L296" s="4">
        <f>原始值!E296+VLOOKUP($H296,怪物强度修正!$A$2:$R$17,COLUMN(L296)-9,FALSE)</f>
        <v>45</v>
      </c>
      <c r="M296" s="4">
        <f t="shared" si="38"/>
        <v>30</v>
      </c>
      <c r="N296" s="4">
        <f t="shared" si="39"/>
        <v>45</v>
      </c>
      <c r="O296" s="4">
        <f>原始值!H296+VLOOKUP($H296,怪物强度修正!$A$2:$R$17,COLUMN(O296)-9,FALSE)</f>
        <v>0</v>
      </c>
      <c r="P296" s="4">
        <f>原始值!I296+VLOOKUP($H296,怪物强度修正!$A$2:$R$17,COLUMN(P296)-9,FALSE)</f>
        <v>0</v>
      </c>
      <c r="Q296" s="4">
        <f>原始值!J296+VLOOKUP($H296,怪物强度修正!$A$2:$R$17,COLUMN(Q296)-9,FALSE)</f>
        <v>1</v>
      </c>
      <c r="R296" s="4">
        <f>原始值!K296+VLOOKUP($H296,怪物强度修正!$A$2:$R$17,COLUMN(R296)-9,FALSE)</f>
        <v>1</v>
      </c>
      <c r="S296" s="4">
        <f>原始值!L296+VLOOKUP($H296,怪物强度修正!$A$2:$R$17,COLUMN(S296)-9,FALSE)</f>
        <v>2</v>
      </c>
      <c r="T296" s="4">
        <f>原始值!M296+VLOOKUP($H296,怪物强度修正!$A$2:$R$17,COLUMN(T296)-9,FALSE)</f>
        <v>2</v>
      </c>
      <c r="U296" s="4">
        <f>原始值!N296+VLOOKUP($H296,怪物强度修正!$A$2:$R$17,COLUMN(U296)-9,FALSE)</f>
        <v>1300</v>
      </c>
      <c r="V296" s="4">
        <v>1</v>
      </c>
      <c r="W296" s="4">
        <f>原始值!P296+VLOOKUP($H296,怪物强度修正!$A$2:$R$17,COLUMN(W296)-9,FALSE)</f>
        <v>15</v>
      </c>
      <c r="X296" s="4">
        <f>原始值!Q296+VLOOKUP($H296,怪物强度修正!$A$2:$R$17,COLUMN(X296)-9,FALSE)</f>
        <v>17</v>
      </c>
      <c r="Y296" s="4">
        <f>原始值!R296+VLOOKUP($H296,怪物强度修正!$A$2:$R$17,COLUMN(Y296)-9,FALSE)</f>
        <v>75</v>
      </c>
      <c r="Z296" s="4">
        <f>原始值!S296+VLOOKUP($H296,怪物强度修正!$A$2:$R$17,COLUMN(Z296)-9,FALSE)</f>
        <v>300</v>
      </c>
      <c r="AA296" s="4">
        <f>原始值!T296+VLOOKUP($H296,怪物强度修正!$A$2:$R$17,COLUMN(AA296)-9,FALSE)</f>
        <v>50</v>
      </c>
    </row>
    <row r="297" spans="1:27" s="4" customFormat="1">
      <c r="A297" s="4" t="str">
        <f t="shared" si="77"/>
        <v>PhyType.NewNpcType_751</v>
      </c>
      <c r="B297" s="4" t="s">
        <v>137</v>
      </c>
      <c r="C297" s="4">
        <v>751</v>
      </c>
      <c r="D297" s="4">
        <v>751</v>
      </c>
      <c r="G297" s="4" t="s">
        <v>313</v>
      </c>
      <c r="H297" s="4" t="s">
        <v>254</v>
      </c>
      <c r="I297" s="4">
        <f>U297-1</f>
        <v>4999</v>
      </c>
      <c r="K297" s="4">
        <v>50</v>
      </c>
      <c r="L297" s="4">
        <v>100</v>
      </c>
      <c r="M297" s="4">
        <f t="shared" si="38"/>
        <v>50</v>
      </c>
      <c r="N297" s="4">
        <f t="shared" si="39"/>
        <v>100</v>
      </c>
      <c r="O297" s="4">
        <v>0</v>
      </c>
      <c r="P297" s="4">
        <v>0</v>
      </c>
      <c r="Q297" s="4">
        <v>20</v>
      </c>
      <c r="R297" s="4">
        <v>20</v>
      </c>
      <c r="S297" s="4">
        <v>12</v>
      </c>
      <c r="T297" s="4">
        <v>15</v>
      </c>
      <c r="U297" s="4">
        <v>5000</v>
      </c>
      <c r="V297" s="4">
        <v>1</v>
      </c>
      <c r="W297" s="4">
        <v>15</v>
      </c>
      <c r="X297" s="4">
        <v>20</v>
      </c>
      <c r="Y297" s="4">
        <v>75</v>
      </c>
      <c r="Z297" s="4">
        <v>300</v>
      </c>
      <c r="AA297" s="4">
        <v>50</v>
      </c>
    </row>
    <row r="298" spans="1:27" s="4" customFormat="1">
      <c r="A298" s="4" t="str">
        <f t="shared" ref="A298:A307" si="78">"PhyType.NewNpcType_"&amp;D298</f>
        <v>PhyType.NewNpcType_752</v>
      </c>
      <c r="B298" s="4" t="s">
        <v>137</v>
      </c>
      <c r="C298" s="4">
        <v>752</v>
      </c>
      <c r="D298" s="4">
        <v>752</v>
      </c>
      <c r="G298" s="4" t="s">
        <v>311</v>
      </c>
      <c r="H298" s="4" t="s">
        <v>312</v>
      </c>
      <c r="I298" s="4">
        <v>0</v>
      </c>
      <c r="K298" s="4">
        <v>10</v>
      </c>
      <c r="L298" s="4">
        <v>20</v>
      </c>
      <c r="M298" s="4">
        <f t="shared" ref="M298:M304" si="79">K298</f>
        <v>10</v>
      </c>
      <c r="N298" s="4">
        <f t="shared" ref="N298:N304" si="80">L298</f>
        <v>20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300</v>
      </c>
      <c r="V298" s="4">
        <v>1</v>
      </c>
      <c r="W298" s="4">
        <v>15</v>
      </c>
      <c r="X298" s="4">
        <v>15</v>
      </c>
      <c r="Y298" s="4">
        <v>75</v>
      </c>
      <c r="Z298" s="4">
        <v>300</v>
      </c>
      <c r="AA298" s="4">
        <v>50</v>
      </c>
    </row>
    <row r="299" spans="1:27" s="4" customFormat="1">
      <c r="A299" s="4" t="str">
        <f t="shared" si="78"/>
        <v>PhyType.NewNpcType_753</v>
      </c>
      <c r="B299" s="4" t="s">
        <v>137</v>
      </c>
      <c r="C299" s="4">
        <v>753</v>
      </c>
      <c r="D299" s="4">
        <v>753</v>
      </c>
      <c r="G299" s="4" t="s">
        <v>314</v>
      </c>
      <c r="H299" s="4" t="s">
        <v>254</v>
      </c>
      <c r="I299" s="4">
        <f t="shared" ref="I299:I304" si="81">U299-1</f>
        <v>6499</v>
      </c>
      <c r="K299" s="4">
        <v>55</v>
      </c>
      <c r="L299" s="4">
        <v>110</v>
      </c>
      <c r="M299" s="4">
        <f t="shared" si="79"/>
        <v>55</v>
      </c>
      <c r="N299" s="4">
        <f t="shared" si="80"/>
        <v>110</v>
      </c>
      <c r="O299" s="4">
        <v>0</v>
      </c>
      <c r="P299" s="4">
        <v>0</v>
      </c>
      <c r="Q299" s="4">
        <v>15</v>
      </c>
      <c r="R299" s="4">
        <v>15</v>
      </c>
      <c r="S299" s="4">
        <v>20</v>
      </c>
      <c r="T299" s="4">
        <v>20</v>
      </c>
      <c r="U299" s="4">
        <v>6500</v>
      </c>
      <c r="V299" s="4">
        <v>1</v>
      </c>
      <c r="W299" s="4">
        <v>16</v>
      </c>
      <c r="X299" s="4">
        <v>21</v>
      </c>
      <c r="Y299" s="4">
        <v>75</v>
      </c>
      <c r="Z299" s="4">
        <v>300</v>
      </c>
      <c r="AA299" s="4">
        <v>50</v>
      </c>
    </row>
    <row r="300" spans="1:27" s="4" customFormat="1">
      <c r="A300" s="4" t="str">
        <f t="shared" si="78"/>
        <v>PhyType.NewNpcType_754</v>
      </c>
      <c r="B300" s="4" t="s">
        <v>137</v>
      </c>
      <c r="C300" s="4">
        <v>754</v>
      </c>
      <c r="D300" s="4">
        <v>754</v>
      </c>
      <c r="G300" s="4" t="s">
        <v>315</v>
      </c>
      <c r="H300" s="4" t="s">
        <v>254</v>
      </c>
      <c r="I300" s="4">
        <f t="shared" si="81"/>
        <v>7999</v>
      </c>
      <c r="K300" s="4">
        <v>60</v>
      </c>
      <c r="L300" s="4">
        <v>120</v>
      </c>
      <c r="M300" s="4">
        <f t="shared" si="79"/>
        <v>60</v>
      </c>
      <c r="N300" s="4">
        <f t="shared" si="80"/>
        <v>120</v>
      </c>
      <c r="O300" s="4">
        <v>0</v>
      </c>
      <c r="P300" s="4">
        <v>0</v>
      </c>
      <c r="Q300" s="4">
        <v>18</v>
      </c>
      <c r="R300" s="4">
        <v>18</v>
      </c>
      <c r="S300" s="4">
        <v>25</v>
      </c>
      <c r="T300" s="4">
        <v>25</v>
      </c>
      <c r="U300" s="4">
        <v>8000</v>
      </c>
      <c r="V300" s="4">
        <v>1</v>
      </c>
      <c r="W300" s="4">
        <v>17</v>
      </c>
      <c r="X300" s="4">
        <v>22</v>
      </c>
      <c r="Y300" s="4">
        <v>75</v>
      </c>
      <c r="Z300" s="4">
        <v>300</v>
      </c>
      <c r="AA300" s="4">
        <v>50</v>
      </c>
    </row>
    <row r="301" spans="1:27" s="4" customFormat="1">
      <c r="A301" s="4" t="str">
        <f t="shared" si="78"/>
        <v>PhyType.NewNpcType_755</v>
      </c>
      <c r="B301" s="4" t="s">
        <v>137</v>
      </c>
      <c r="C301" s="4">
        <v>755</v>
      </c>
      <c r="D301" s="4">
        <v>755</v>
      </c>
      <c r="G301" s="4" t="s">
        <v>316</v>
      </c>
      <c r="H301" s="4" t="s">
        <v>254</v>
      </c>
      <c r="I301" s="4">
        <f t="shared" si="81"/>
        <v>9999</v>
      </c>
      <c r="K301" s="4">
        <v>65</v>
      </c>
      <c r="L301" s="4">
        <v>130</v>
      </c>
      <c r="M301" s="4">
        <f t="shared" si="79"/>
        <v>65</v>
      </c>
      <c r="N301" s="4">
        <f t="shared" si="80"/>
        <v>130</v>
      </c>
      <c r="O301" s="4">
        <v>0</v>
      </c>
      <c r="P301" s="4">
        <v>0</v>
      </c>
      <c r="Q301" s="4">
        <v>21</v>
      </c>
      <c r="R301" s="4">
        <v>21</v>
      </c>
      <c r="S301" s="4">
        <v>30</v>
      </c>
      <c r="T301" s="4">
        <v>30</v>
      </c>
      <c r="U301" s="4">
        <v>10000</v>
      </c>
      <c r="V301" s="4">
        <v>1</v>
      </c>
      <c r="W301" s="4">
        <v>18</v>
      </c>
      <c r="X301" s="4">
        <v>23</v>
      </c>
      <c r="Y301" s="4">
        <v>75</v>
      </c>
      <c r="Z301" s="4">
        <v>300</v>
      </c>
      <c r="AA301" s="4">
        <v>50</v>
      </c>
    </row>
    <row r="302" spans="1:27" s="4" customFormat="1">
      <c r="A302" s="4" t="str">
        <f t="shared" si="78"/>
        <v>PhyType.NewNpcType_756</v>
      </c>
      <c r="B302" s="4" t="s">
        <v>137</v>
      </c>
      <c r="C302" s="4">
        <v>756</v>
      </c>
      <c r="D302" s="4">
        <v>756</v>
      </c>
      <c r="G302" s="4" t="s">
        <v>317</v>
      </c>
      <c r="H302" s="4" t="s">
        <v>254</v>
      </c>
      <c r="I302" s="4">
        <f t="shared" si="81"/>
        <v>11999</v>
      </c>
      <c r="K302" s="4">
        <v>70</v>
      </c>
      <c r="L302" s="4">
        <v>140</v>
      </c>
      <c r="M302" s="4">
        <f t="shared" si="79"/>
        <v>70</v>
      </c>
      <c r="N302" s="4">
        <f t="shared" si="80"/>
        <v>140</v>
      </c>
      <c r="O302" s="4">
        <v>0</v>
      </c>
      <c r="P302" s="4">
        <v>0</v>
      </c>
      <c r="Q302" s="4">
        <v>24</v>
      </c>
      <c r="R302" s="4">
        <v>24</v>
      </c>
      <c r="S302" s="4">
        <v>35</v>
      </c>
      <c r="T302" s="4">
        <v>35</v>
      </c>
      <c r="U302" s="4">
        <v>12000</v>
      </c>
      <c r="V302" s="4">
        <v>1</v>
      </c>
      <c r="W302" s="4">
        <v>19</v>
      </c>
      <c r="X302" s="4">
        <v>24</v>
      </c>
      <c r="Y302" s="4">
        <v>75</v>
      </c>
      <c r="Z302" s="4">
        <v>300</v>
      </c>
      <c r="AA302" s="4">
        <v>50</v>
      </c>
    </row>
    <row r="303" spans="1:27" s="4" customFormat="1">
      <c r="A303" s="4" t="str">
        <f t="shared" si="78"/>
        <v>PhyType.NewNpcType_757</v>
      </c>
      <c r="B303" s="4" t="s">
        <v>137</v>
      </c>
      <c r="C303" s="4">
        <v>757</v>
      </c>
      <c r="D303" s="4">
        <v>757</v>
      </c>
      <c r="G303" s="4" t="s">
        <v>318</v>
      </c>
      <c r="H303" s="4" t="s">
        <v>254</v>
      </c>
      <c r="I303" s="4">
        <f t="shared" si="81"/>
        <v>14999</v>
      </c>
      <c r="K303" s="4">
        <v>75</v>
      </c>
      <c r="L303" s="4">
        <v>150</v>
      </c>
      <c r="M303" s="4">
        <f t="shared" si="79"/>
        <v>75</v>
      </c>
      <c r="N303" s="4">
        <f t="shared" si="80"/>
        <v>150</v>
      </c>
      <c r="O303" s="4">
        <v>0</v>
      </c>
      <c r="P303" s="4">
        <v>0</v>
      </c>
      <c r="Q303" s="4">
        <v>27</v>
      </c>
      <c r="R303" s="4">
        <v>27</v>
      </c>
      <c r="S303" s="4">
        <v>40</v>
      </c>
      <c r="T303" s="4">
        <v>40</v>
      </c>
      <c r="U303" s="4">
        <v>15000</v>
      </c>
      <c r="V303" s="4">
        <v>1</v>
      </c>
      <c r="W303" s="4">
        <v>20</v>
      </c>
      <c r="X303" s="4">
        <v>25</v>
      </c>
      <c r="Y303" s="4">
        <v>75</v>
      </c>
      <c r="Z303" s="4">
        <v>300</v>
      </c>
      <c r="AA303" s="4">
        <v>50</v>
      </c>
    </row>
    <row r="304" spans="1:27" s="4" customFormat="1">
      <c r="A304" s="4" t="str">
        <f t="shared" si="78"/>
        <v>PhyType.NewNpcType_758</v>
      </c>
      <c r="B304" s="4" t="s">
        <v>137</v>
      </c>
      <c r="C304" s="4">
        <v>758</v>
      </c>
      <c r="D304" s="4">
        <v>758</v>
      </c>
      <c r="G304" s="4" t="s">
        <v>319</v>
      </c>
      <c r="H304" s="4" t="s">
        <v>254</v>
      </c>
      <c r="I304" s="4">
        <f t="shared" si="81"/>
        <v>19999</v>
      </c>
      <c r="K304" s="4">
        <v>80</v>
      </c>
      <c r="L304" s="4">
        <v>160</v>
      </c>
      <c r="M304" s="4">
        <f t="shared" si="79"/>
        <v>80</v>
      </c>
      <c r="N304" s="4">
        <f t="shared" si="80"/>
        <v>160</v>
      </c>
      <c r="O304" s="4">
        <v>0</v>
      </c>
      <c r="P304" s="4">
        <v>0</v>
      </c>
      <c r="Q304" s="4">
        <v>30</v>
      </c>
      <c r="R304" s="4">
        <v>30</v>
      </c>
      <c r="S304" s="4">
        <v>45</v>
      </c>
      <c r="T304" s="4">
        <v>45</v>
      </c>
      <c r="U304" s="4">
        <v>20000</v>
      </c>
      <c r="V304" s="4">
        <v>1</v>
      </c>
      <c r="W304" s="4">
        <v>21</v>
      </c>
      <c r="X304" s="4">
        <v>26</v>
      </c>
      <c r="Y304" s="4">
        <v>75</v>
      </c>
      <c r="Z304" s="4">
        <v>300</v>
      </c>
      <c r="AA304" s="4">
        <v>50</v>
      </c>
    </row>
    <row r="305" spans="1:28" s="4" customFormat="1">
      <c r="A305" s="4" t="str">
        <f t="shared" si="78"/>
        <v>PhyType.NewNpcType_759</v>
      </c>
      <c r="B305" s="4" t="s">
        <v>137</v>
      </c>
      <c r="C305" s="4">
        <v>759</v>
      </c>
      <c r="D305" s="4">
        <v>759</v>
      </c>
      <c r="G305" s="4" t="s">
        <v>325</v>
      </c>
      <c r="H305" s="4" t="s">
        <v>328</v>
      </c>
      <c r="I305" s="4">
        <f>U305-1</f>
        <v>499</v>
      </c>
      <c r="K305" s="4">
        <v>30</v>
      </c>
      <c r="L305" s="4">
        <v>50</v>
      </c>
      <c r="M305" s="4">
        <f t="shared" ref="M305:M307" si="82">K305</f>
        <v>30</v>
      </c>
      <c r="N305" s="4">
        <f t="shared" ref="N305:N307" si="83">L305</f>
        <v>50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500</v>
      </c>
      <c r="V305" s="4">
        <v>1</v>
      </c>
      <c r="W305" s="4">
        <v>15</v>
      </c>
      <c r="X305" s="4">
        <v>15</v>
      </c>
      <c r="Y305" s="4">
        <v>75</v>
      </c>
      <c r="Z305" s="4">
        <v>300</v>
      </c>
      <c r="AA305" s="4">
        <v>50</v>
      </c>
    </row>
    <row r="306" spans="1:28" s="4" customFormat="1">
      <c r="A306" s="4" t="str">
        <f t="shared" si="78"/>
        <v>PhyType.NewNpcType_760</v>
      </c>
      <c r="B306" s="4" t="s">
        <v>137</v>
      </c>
      <c r="C306" s="4">
        <v>760</v>
      </c>
      <c r="D306" s="4">
        <v>760</v>
      </c>
      <c r="G306" s="4" t="s">
        <v>326</v>
      </c>
      <c r="H306" s="4" t="s">
        <v>328</v>
      </c>
      <c r="I306" s="4">
        <f t="shared" ref="I306:I307" si="84">U306-1</f>
        <v>999</v>
      </c>
      <c r="K306" s="4">
        <v>45</v>
      </c>
      <c r="L306" s="4">
        <v>75</v>
      </c>
      <c r="M306" s="4">
        <f t="shared" si="82"/>
        <v>45</v>
      </c>
      <c r="N306" s="4">
        <f t="shared" si="83"/>
        <v>75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1000</v>
      </c>
      <c r="V306" s="4">
        <v>1</v>
      </c>
      <c r="W306" s="4">
        <v>17</v>
      </c>
      <c r="X306" s="4">
        <v>17</v>
      </c>
      <c r="Y306" s="4">
        <v>75</v>
      </c>
      <c r="Z306" s="4">
        <v>300</v>
      </c>
      <c r="AA306" s="4">
        <v>50</v>
      </c>
    </row>
    <row r="307" spans="1:28" s="4" customFormat="1">
      <c r="A307" s="4" t="str">
        <f t="shared" si="78"/>
        <v>PhyType.NewNpcType_761</v>
      </c>
      <c r="B307" s="4" t="s">
        <v>137</v>
      </c>
      <c r="C307" s="4">
        <v>761</v>
      </c>
      <c r="D307" s="4">
        <v>761</v>
      </c>
      <c r="G307" s="4" t="s">
        <v>327</v>
      </c>
      <c r="H307" s="4" t="s">
        <v>328</v>
      </c>
      <c r="I307" s="4">
        <f t="shared" si="84"/>
        <v>1999</v>
      </c>
      <c r="K307" s="4">
        <v>60</v>
      </c>
      <c r="L307" s="4">
        <v>100</v>
      </c>
      <c r="M307" s="4">
        <f t="shared" si="82"/>
        <v>60</v>
      </c>
      <c r="N307" s="4">
        <f t="shared" si="83"/>
        <v>100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2000</v>
      </c>
      <c r="V307" s="4">
        <v>1</v>
      </c>
      <c r="W307" s="4">
        <v>20</v>
      </c>
      <c r="X307" s="4">
        <v>20</v>
      </c>
      <c r="Y307" s="4">
        <v>75</v>
      </c>
      <c r="Z307" s="4">
        <v>300</v>
      </c>
      <c r="AA307" s="4">
        <v>50</v>
      </c>
    </row>
    <row r="308" spans="1:28" s="4" customFormat="1">
      <c r="A308" s="4" t="str">
        <f t="shared" ref="A308" si="85">"PhyType.NewNpcType_"&amp;D308</f>
        <v>PhyType.NewNpcType_762</v>
      </c>
      <c r="B308" s="4" t="s">
        <v>137</v>
      </c>
      <c r="C308" s="4">
        <v>762</v>
      </c>
      <c r="D308" s="4">
        <v>762</v>
      </c>
      <c r="G308" s="4" t="s">
        <v>329</v>
      </c>
      <c r="H308" s="4" t="s">
        <v>330</v>
      </c>
      <c r="I308" s="4">
        <v>0</v>
      </c>
      <c r="K308" s="4">
        <v>80</v>
      </c>
      <c r="L308" s="4">
        <v>130</v>
      </c>
      <c r="M308" s="4">
        <f t="shared" ref="M308" si="86">K308</f>
        <v>80</v>
      </c>
      <c r="N308" s="4">
        <f t="shared" ref="N308" si="87">L308</f>
        <v>130</v>
      </c>
      <c r="O308" s="4">
        <v>0</v>
      </c>
      <c r="P308" s="4">
        <v>0</v>
      </c>
      <c r="Q308" s="4">
        <v>10</v>
      </c>
      <c r="R308" s="4">
        <v>10</v>
      </c>
      <c r="S308" s="4">
        <v>20</v>
      </c>
      <c r="T308" s="4">
        <v>20</v>
      </c>
      <c r="U308" s="4">
        <v>2000000</v>
      </c>
      <c r="V308" s="4">
        <v>1</v>
      </c>
      <c r="W308" s="4">
        <v>20</v>
      </c>
      <c r="X308" s="4">
        <v>20</v>
      </c>
      <c r="Y308" s="4">
        <v>75</v>
      </c>
      <c r="Z308" s="4">
        <v>300</v>
      </c>
      <c r="AA308" s="4">
        <v>50</v>
      </c>
    </row>
    <row r="309" spans="1:28">
      <c r="A309" t="str">
        <f t="shared" si="75"/>
        <v>PhyType.NewNpcType_801</v>
      </c>
      <c r="B309" t="s">
        <v>137</v>
      </c>
      <c r="C309">
        <v>801</v>
      </c>
      <c r="D309">
        <v>801</v>
      </c>
      <c r="G309" t="s">
        <v>55</v>
      </c>
      <c r="K309">
        <v>200</v>
      </c>
      <c r="L309">
        <v>200</v>
      </c>
      <c r="M309">
        <f t="shared" si="38"/>
        <v>200</v>
      </c>
      <c r="N309">
        <f t="shared" si="39"/>
        <v>200</v>
      </c>
      <c r="O309">
        <v>200</v>
      </c>
      <c r="P309">
        <v>200</v>
      </c>
      <c r="Q309">
        <v>100</v>
      </c>
      <c r="R309">
        <v>100</v>
      </c>
      <c r="S309">
        <v>100</v>
      </c>
      <c r="T309">
        <v>100</v>
      </c>
      <c r="U309">
        <v>9999</v>
      </c>
      <c r="V309">
        <v>1</v>
      </c>
      <c r="W309">
        <v>200</v>
      </c>
      <c r="X309">
        <v>200</v>
      </c>
      <c r="Y309">
        <v>75</v>
      </c>
      <c r="Z309">
        <v>300</v>
      </c>
      <c r="AA309">
        <v>50</v>
      </c>
      <c r="AB309">
        <v>10000</v>
      </c>
    </row>
    <row r="310" spans="1:28">
      <c r="A310" t="str">
        <f t="shared" si="75"/>
        <v>PhyType.NewNpcType_802</v>
      </c>
      <c r="B310" t="s">
        <v>137</v>
      </c>
      <c r="C310">
        <v>802</v>
      </c>
      <c r="D310">
        <v>802</v>
      </c>
      <c r="G310" t="s">
        <v>56</v>
      </c>
      <c r="K310">
        <v>15</v>
      </c>
      <c r="L310">
        <v>30</v>
      </c>
      <c r="M310">
        <f t="shared" si="38"/>
        <v>15</v>
      </c>
      <c r="N310">
        <f t="shared" si="39"/>
        <v>30</v>
      </c>
      <c r="O310">
        <v>0</v>
      </c>
      <c r="P310">
        <v>0</v>
      </c>
      <c r="Q310">
        <v>20</v>
      </c>
      <c r="R310">
        <v>20</v>
      </c>
      <c r="S310">
        <v>20</v>
      </c>
      <c r="T310">
        <v>20</v>
      </c>
      <c r="U310">
        <v>2000</v>
      </c>
      <c r="V310">
        <v>1</v>
      </c>
      <c r="W310">
        <v>15</v>
      </c>
      <c r="X310">
        <v>18</v>
      </c>
      <c r="Y310">
        <v>75</v>
      </c>
      <c r="Z310">
        <v>300</v>
      </c>
      <c r="AA310">
        <v>50</v>
      </c>
    </row>
    <row r="311" spans="1:28">
      <c r="A311" t="str">
        <f t="shared" si="75"/>
        <v>PhyType.NewNpcType_803</v>
      </c>
      <c r="B311" t="s">
        <v>137</v>
      </c>
      <c r="C311">
        <v>803</v>
      </c>
      <c r="D311">
        <v>803</v>
      </c>
      <c r="G311" t="s">
        <v>57</v>
      </c>
      <c r="K311">
        <v>0</v>
      </c>
      <c r="L311">
        <v>0</v>
      </c>
      <c r="M311">
        <f t="shared" si="38"/>
        <v>0</v>
      </c>
      <c r="N311">
        <f t="shared" si="39"/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9999</v>
      </c>
      <c r="V311">
        <v>1</v>
      </c>
      <c r="W311">
        <v>0</v>
      </c>
      <c r="X311">
        <v>0</v>
      </c>
      <c r="Y311">
        <v>75</v>
      </c>
      <c r="Z311">
        <v>300</v>
      </c>
      <c r="AA311">
        <v>50</v>
      </c>
      <c r="AB311">
        <v>10000</v>
      </c>
    </row>
    <row r="312" spans="1:28">
      <c r="A312" t="str">
        <f t="shared" si="75"/>
        <v>PhyType.NewNpcType_804</v>
      </c>
      <c r="B312" t="s">
        <v>137</v>
      </c>
      <c r="C312">
        <v>804</v>
      </c>
      <c r="D312">
        <v>804</v>
      </c>
      <c r="G312" t="s">
        <v>59</v>
      </c>
      <c r="K312">
        <v>0</v>
      </c>
      <c r="L312">
        <v>0</v>
      </c>
      <c r="M312">
        <f t="shared" ref="M312:M379" si="88">K312</f>
        <v>0</v>
      </c>
      <c r="N312">
        <f t="shared" ref="N312:N379" si="89">L312</f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100</v>
      </c>
      <c r="V312">
        <v>1</v>
      </c>
      <c r="W312">
        <v>5</v>
      </c>
      <c r="X312">
        <v>5</v>
      </c>
      <c r="Y312">
        <v>75</v>
      </c>
      <c r="Z312">
        <v>300</v>
      </c>
      <c r="AA312">
        <v>50</v>
      </c>
    </row>
    <row r="313" spans="1:28">
      <c r="A313" t="str">
        <f t="shared" si="75"/>
        <v>PhyType.NewNpcType_805</v>
      </c>
      <c r="B313" t="s">
        <v>137</v>
      </c>
      <c r="C313">
        <v>805</v>
      </c>
      <c r="D313">
        <v>805</v>
      </c>
      <c r="G313" t="s">
        <v>58</v>
      </c>
      <c r="K313">
        <v>0</v>
      </c>
      <c r="L313">
        <v>0</v>
      </c>
      <c r="M313">
        <f t="shared" si="88"/>
        <v>0</v>
      </c>
      <c r="N313">
        <f t="shared" si="89"/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200</v>
      </c>
      <c r="V313">
        <v>1</v>
      </c>
      <c r="W313">
        <v>5</v>
      </c>
      <c r="X313">
        <v>5</v>
      </c>
      <c r="Y313">
        <v>75</v>
      </c>
      <c r="Z313">
        <v>300</v>
      </c>
      <c r="AA313">
        <v>50</v>
      </c>
    </row>
    <row r="314" spans="1:28">
      <c r="A314" t="str">
        <f t="shared" si="75"/>
        <v>PhyType.NewNpcType_806</v>
      </c>
      <c r="B314" t="s">
        <v>137</v>
      </c>
      <c r="C314">
        <v>806</v>
      </c>
      <c r="D314">
        <v>806</v>
      </c>
      <c r="G314" t="s">
        <v>60</v>
      </c>
      <c r="K314">
        <v>0</v>
      </c>
      <c r="L314">
        <v>0</v>
      </c>
      <c r="M314">
        <f t="shared" si="88"/>
        <v>0</v>
      </c>
      <c r="N314">
        <f t="shared" si="89"/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500</v>
      </c>
      <c r="V314">
        <v>1</v>
      </c>
      <c r="W314">
        <v>5</v>
      </c>
      <c r="X314">
        <v>5</v>
      </c>
      <c r="Y314">
        <v>75</v>
      </c>
      <c r="Z314">
        <v>300</v>
      </c>
      <c r="AA314">
        <v>50</v>
      </c>
    </row>
    <row r="315" spans="1:28">
      <c r="A315" t="str">
        <f t="shared" si="75"/>
        <v>PhyType.NewNpcType_807</v>
      </c>
      <c r="B315" t="s">
        <v>137</v>
      </c>
      <c r="C315">
        <v>807</v>
      </c>
      <c r="D315">
        <v>807</v>
      </c>
      <c r="G315" t="s">
        <v>61</v>
      </c>
      <c r="K315">
        <v>11</v>
      </c>
      <c r="L315">
        <v>26</v>
      </c>
      <c r="M315">
        <f t="shared" si="88"/>
        <v>11</v>
      </c>
      <c r="N315">
        <f t="shared" si="89"/>
        <v>26</v>
      </c>
      <c r="O315">
        <v>0</v>
      </c>
      <c r="P315">
        <v>0</v>
      </c>
      <c r="Q315">
        <v>10</v>
      </c>
      <c r="R315">
        <v>10</v>
      </c>
      <c r="S315">
        <v>10</v>
      </c>
      <c r="T315">
        <v>10</v>
      </c>
      <c r="U315">
        <v>60</v>
      </c>
      <c r="V315">
        <v>1</v>
      </c>
      <c r="W315">
        <v>15</v>
      </c>
      <c r="X315">
        <v>22</v>
      </c>
      <c r="Y315">
        <v>75</v>
      </c>
      <c r="Z315">
        <v>300</v>
      </c>
      <c r="AA315">
        <v>50</v>
      </c>
    </row>
    <row r="316" spans="1:28">
      <c r="A316" t="str">
        <f t="shared" si="75"/>
        <v>PhyType.NewNpcType_808</v>
      </c>
      <c r="B316" t="s">
        <v>137</v>
      </c>
      <c r="C316">
        <v>808</v>
      </c>
      <c r="D316">
        <v>808</v>
      </c>
      <c r="G316" t="s">
        <v>62</v>
      </c>
      <c r="K316">
        <v>20</v>
      </c>
      <c r="L316">
        <v>30</v>
      </c>
      <c r="M316">
        <f t="shared" si="88"/>
        <v>20</v>
      </c>
      <c r="N316">
        <f t="shared" si="89"/>
        <v>30</v>
      </c>
      <c r="O316">
        <v>0</v>
      </c>
      <c r="P316">
        <v>0</v>
      </c>
      <c r="Q316">
        <v>25</v>
      </c>
      <c r="R316">
        <v>25</v>
      </c>
      <c r="S316">
        <v>20</v>
      </c>
      <c r="T316">
        <v>20</v>
      </c>
      <c r="U316">
        <v>100</v>
      </c>
      <c r="V316">
        <v>1</v>
      </c>
      <c r="W316">
        <v>25</v>
      </c>
      <c r="X316">
        <v>20</v>
      </c>
      <c r="Y316">
        <v>75</v>
      </c>
      <c r="Z316">
        <v>300</v>
      </c>
      <c r="AA316">
        <v>50</v>
      </c>
    </row>
    <row r="317" spans="1:28">
      <c r="A317" t="str">
        <f t="shared" si="75"/>
        <v>PhyType.NewNpcType_809</v>
      </c>
      <c r="B317" t="s">
        <v>137</v>
      </c>
      <c r="C317">
        <v>809</v>
      </c>
      <c r="D317">
        <v>809</v>
      </c>
      <c r="G317" t="s">
        <v>100</v>
      </c>
      <c r="K317">
        <v>0</v>
      </c>
      <c r="L317">
        <v>0</v>
      </c>
      <c r="M317">
        <f t="shared" si="88"/>
        <v>0</v>
      </c>
      <c r="N317">
        <f t="shared" si="89"/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9999</v>
      </c>
      <c r="V317">
        <v>1</v>
      </c>
      <c r="W317">
        <v>0</v>
      </c>
      <c r="X317">
        <v>0</v>
      </c>
      <c r="Y317">
        <v>10</v>
      </c>
      <c r="Z317">
        <v>50</v>
      </c>
      <c r="AA317">
        <v>50</v>
      </c>
      <c r="AB317">
        <v>10000</v>
      </c>
    </row>
    <row r="318" spans="1:28">
      <c r="A318" t="str">
        <f t="shared" ref="A318" si="90">"PhyType.NewNpcType_"&amp;D318</f>
        <v>PhyType.NewNpcType_810</v>
      </c>
      <c r="B318" t="s">
        <v>137</v>
      </c>
      <c r="C318">
        <v>810</v>
      </c>
      <c r="D318">
        <v>810</v>
      </c>
      <c r="G318" t="s">
        <v>154</v>
      </c>
      <c r="K318">
        <v>0</v>
      </c>
      <c r="L318">
        <v>0</v>
      </c>
      <c r="M318">
        <f t="shared" si="88"/>
        <v>0</v>
      </c>
      <c r="N318">
        <f t="shared" si="89"/>
        <v>0</v>
      </c>
      <c r="O318">
        <v>0</v>
      </c>
      <c r="P318">
        <v>0</v>
      </c>
      <c r="Q318">
        <v>20</v>
      </c>
      <c r="R318">
        <v>20</v>
      </c>
      <c r="S318">
        <v>20</v>
      </c>
      <c r="T318">
        <v>20</v>
      </c>
      <c r="U318">
        <v>10000</v>
      </c>
      <c r="V318">
        <v>1</v>
      </c>
      <c r="W318">
        <v>1</v>
      </c>
      <c r="X318">
        <v>1</v>
      </c>
      <c r="Y318">
        <v>75</v>
      </c>
      <c r="Z318">
        <v>300</v>
      </c>
      <c r="AA318">
        <v>50</v>
      </c>
      <c r="AB318">
        <v>10000</v>
      </c>
    </row>
    <row r="319" spans="1:28">
      <c r="A319" t="str">
        <f t="shared" ref="A319:A321" si="91">"PhyType.NewNpcType_"&amp;D319</f>
        <v>PhyType.NewNpcType_811</v>
      </c>
      <c r="B319" t="s">
        <v>137</v>
      </c>
      <c r="C319">
        <v>811</v>
      </c>
      <c r="D319">
        <v>811</v>
      </c>
      <c r="G319" t="s">
        <v>153</v>
      </c>
      <c r="K319">
        <v>0</v>
      </c>
      <c r="L319">
        <v>0</v>
      </c>
      <c r="M319">
        <f t="shared" si="88"/>
        <v>0</v>
      </c>
      <c r="N319">
        <f t="shared" si="89"/>
        <v>0</v>
      </c>
      <c r="O319">
        <v>0</v>
      </c>
      <c r="P319">
        <v>0</v>
      </c>
      <c r="Q319">
        <v>20</v>
      </c>
      <c r="R319">
        <v>20</v>
      </c>
      <c r="S319">
        <v>99</v>
      </c>
      <c r="T319">
        <v>99</v>
      </c>
      <c r="U319">
        <v>5000</v>
      </c>
      <c r="V319">
        <v>1</v>
      </c>
      <c r="W319">
        <v>1</v>
      </c>
      <c r="X319">
        <v>1</v>
      </c>
      <c r="Y319">
        <v>75</v>
      </c>
      <c r="Z319">
        <v>300</v>
      </c>
      <c r="AA319">
        <v>50</v>
      </c>
      <c r="AB319">
        <v>10000</v>
      </c>
    </row>
    <row r="320" spans="1:28">
      <c r="A320" t="str">
        <f t="shared" si="91"/>
        <v>PhyType.NewNpcType_812</v>
      </c>
      <c r="B320" t="s">
        <v>137</v>
      </c>
      <c r="C320">
        <v>812</v>
      </c>
      <c r="D320">
        <v>812</v>
      </c>
      <c r="G320" t="s">
        <v>165</v>
      </c>
      <c r="K320">
        <v>0</v>
      </c>
      <c r="L320">
        <v>0</v>
      </c>
      <c r="M320">
        <f t="shared" si="88"/>
        <v>0</v>
      </c>
      <c r="N320">
        <f t="shared" si="89"/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50</v>
      </c>
      <c r="V320">
        <v>1</v>
      </c>
      <c r="W320">
        <v>5</v>
      </c>
      <c r="X320">
        <v>5</v>
      </c>
      <c r="Y320">
        <v>75</v>
      </c>
      <c r="Z320">
        <v>300</v>
      </c>
      <c r="AA320">
        <v>50</v>
      </c>
    </row>
    <row r="321" spans="1:28">
      <c r="A321" t="str">
        <f t="shared" si="91"/>
        <v>PhyType.NewNpcType_813</v>
      </c>
      <c r="B321" t="s">
        <v>137</v>
      </c>
      <c r="C321">
        <v>813</v>
      </c>
      <c r="D321">
        <v>813</v>
      </c>
      <c r="G321" t="s">
        <v>166</v>
      </c>
      <c r="K321">
        <v>0</v>
      </c>
      <c r="L321">
        <v>0</v>
      </c>
      <c r="M321">
        <f t="shared" si="88"/>
        <v>0</v>
      </c>
      <c r="N321">
        <f t="shared" si="89"/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25</v>
      </c>
      <c r="V321">
        <v>1</v>
      </c>
      <c r="W321">
        <v>5</v>
      </c>
      <c r="X321">
        <v>5</v>
      </c>
      <c r="Y321">
        <v>75</v>
      </c>
      <c r="Z321">
        <v>300</v>
      </c>
      <c r="AA321">
        <v>50</v>
      </c>
    </row>
    <row r="322" spans="1:28">
      <c r="A322" t="str">
        <f t="shared" ref="A322" si="92">"PhyType.NewNpcType_"&amp;D322</f>
        <v>PhyType.NewNpcType_814</v>
      </c>
      <c r="B322" t="s">
        <v>137</v>
      </c>
      <c r="C322">
        <v>814</v>
      </c>
      <c r="D322">
        <v>814</v>
      </c>
      <c r="G322" t="s">
        <v>212</v>
      </c>
      <c r="K322">
        <v>0</v>
      </c>
      <c r="L322">
        <v>0</v>
      </c>
      <c r="M322">
        <f t="shared" si="88"/>
        <v>0</v>
      </c>
      <c r="N322">
        <f t="shared" si="89"/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1000</v>
      </c>
      <c r="V322">
        <v>1</v>
      </c>
      <c r="W322">
        <v>5</v>
      </c>
      <c r="X322">
        <v>5</v>
      </c>
      <c r="Y322">
        <v>75</v>
      </c>
      <c r="Z322">
        <v>300</v>
      </c>
      <c r="AA322">
        <v>0</v>
      </c>
      <c r="AB322">
        <v>10000</v>
      </c>
    </row>
    <row r="323" spans="1:28" s="8" customFormat="1">
      <c r="A323" s="8" t="str">
        <f t="shared" si="75"/>
        <v>PhyType.NewNpcType_901</v>
      </c>
      <c r="B323" s="8" t="s">
        <v>137</v>
      </c>
      <c r="C323" s="8">
        <v>901</v>
      </c>
      <c r="D323" s="9">
        <v>901</v>
      </c>
      <c r="E323" s="9"/>
      <c r="F323" s="9"/>
      <c r="G323" s="10" t="s">
        <v>48</v>
      </c>
      <c r="H323" s="10" t="s">
        <v>105</v>
      </c>
      <c r="I323" s="18">
        <v>1199</v>
      </c>
      <c r="J323" s="10"/>
      <c r="K323" s="8">
        <v>23</v>
      </c>
      <c r="L323" s="8">
        <v>46</v>
      </c>
      <c r="M323" s="8">
        <f t="shared" si="88"/>
        <v>23</v>
      </c>
      <c r="N323" s="8">
        <f t="shared" si="89"/>
        <v>46</v>
      </c>
      <c r="O323" s="8">
        <v>0</v>
      </c>
      <c r="P323" s="8">
        <v>0</v>
      </c>
      <c r="Q323" s="8">
        <v>18</v>
      </c>
      <c r="R323" s="8">
        <v>18</v>
      </c>
      <c r="S323" s="8">
        <v>22</v>
      </c>
      <c r="T323" s="8">
        <v>22</v>
      </c>
      <c r="U323" s="8">
        <v>1200</v>
      </c>
      <c r="V323" s="8">
        <v>1</v>
      </c>
      <c r="W323" s="8">
        <v>15</v>
      </c>
      <c r="X323" s="8">
        <v>15</v>
      </c>
      <c r="Y323" s="8">
        <v>75</v>
      </c>
      <c r="Z323" s="8">
        <v>300</v>
      </c>
      <c r="AA323" s="8">
        <v>50</v>
      </c>
    </row>
    <row r="324" spans="1:28" s="8" customFormat="1">
      <c r="A324" s="8" t="str">
        <f t="shared" si="75"/>
        <v>PhyType.NewNpcType_902</v>
      </c>
      <c r="B324" s="8" t="s">
        <v>137</v>
      </c>
      <c r="C324" s="8">
        <v>902</v>
      </c>
      <c r="D324" s="9">
        <v>902</v>
      </c>
      <c r="E324" s="9"/>
      <c r="F324" s="9"/>
      <c r="G324" s="10" t="s">
        <v>122</v>
      </c>
      <c r="H324" s="10" t="s">
        <v>108</v>
      </c>
      <c r="I324" s="18">
        <v>699</v>
      </c>
      <c r="J324" s="10"/>
      <c r="K324" s="8">
        <v>17</v>
      </c>
      <c r="L324" s="8">
        <v>35</v>
      </c>
      <c r="M324" s="8">
        <f t="shared" si="88"/>
        <v>17</v>
      </c>
      <c r="N324" s="8">
        <f t="shared" si="89"/>
        <v>35</v>
      </c>
      <c r="O324" s="8">
        <v>0</v>
      </c>
      <c r="P324" s="8">
        <v>0</v>
      </c>
      <c r="Q324" s="8">
        <v>12</v>
      </c>
      <c r="R324" s="8">
        <v>12</v>
      </c>
      <c r="S324" s="8">
        <v>15</v>
      </c>
      <c r="T324" s="8">
        <v>15</v>
      </c>
      <c r="U324" s="8">
        <v>700</v>
      </c>
      <c r="V324" s="8">
        <v>1</v>
      </c>
      <c r="W324" s="8">
        <v>17</v>
      </c>
      <c r="X324" s="8">
        <v>15</v>
      </c>
      <c r="Y324" s="8">
        <v>75</v>
      </c>
      <c r="Z324" s="8">
        <v>300</v>
      </c>
      <c r="AA324" s="8">
        <v>50</v>
      </c>
    </row>
    <row r="325" spans="1:28" s="8" customFormat="1">
      <c r="A325" s="8" t="str">
        <f t="shared" si="75"/>
        <v>PhyType.NewNpcType_903</v>
      </c>
      <c r="B325" s="8" t="s">
        <v>137</v>
      </c>
      <c r="C325" s="8">
        <v>903</v>
      </c>
      <c r="D325" s="9">
        <v>903</v>
      </c>
      <c r="E325" s="9"/>
      <c r="F325" s="9"/>
      <c r="G325" s="10" t="s">
        <v>49</v>
      </c>
      <c r="H325" s="10" t="s">
        <v>109</v>
      </c>
      <c r="I325" s="18">
        <v>2499</v>
      </c>
      <c r="J325" s="10"/>
      <c r="K325" s="8">
        <v>35</v>
      </c>
      <c r="L325" s="8">
        <v>70</v>
      </c>
      <c r="M325" s="8">
        <f t="shared" si="88"/>
        <v>35</v>
      </c>
      <c r="N325" s="8">
        <f t="shared" si="89"/>
        <v>70</v>
      </c>
      <c r="O325" s="8">
        <v>0</v>
      </c>
      <c r="P325" s="8">
        <v>0</v>
      </c>
      <c r="Q325" s="8">
        <v>18</v>
      </c>
      <c r="R325" s="8">
        <v>18</v>
      </c>
      <c r="S325" s="8">
        <v>22</v>
      </c>
      <c r="T325" s="8">
        <v>22</v>
      </c>
      <c r="U325" s="8">
        <v>3000</v>
      </c>
      <c r="V325" s="8">
        <v>1</v>
      </c>
      <c r="W325" s="8">
        <v>17</v>
      </c>
      <c r="X325" s="8">
        <v>25</v>
      </c>
      <c r="Y325" s="8">
        <v>75</v>
      </c>
      <c r="Z325" s="8">
        <v>300</v>
      </c>
      <c r="AA325" s="8">
        <v>50</v>
      </c>
    </row>
    <row r="326" spans="1:28" s="8" customFormat="1">
      <c r="A326" s="8" t="str">
        <f t="shared" si="75"/>
        <v>PhyType.NewNpcType_904</v>
      </c>
      <c r="B326" s="8" t="s">
        <v>137</v>
      </c>
      <c r="C326" s="8">
        <v>904</v>
      </c>
      <c r="D326" s="9">
        <v>904</v>
      </c>
      <c r="E326" s="9"/>
      <c r="F326" s="9"/>
      <c r="G326" s="10" t="s">
        <v>50</v>
      </c>
      <c r="H326" s="10" t="s">
        <v>108</v>
      </c>
      <c r="I326" s="18">
        <v>199</v>
      </c>
      <c r="J326" s="10"/>
      <c r="K326" s="8">
        <v>7</v>
      </c>
      <c r="L326" s="8">
        <v>15</v>
      </c>
      <c r="M326" s="8">
        <f t="shared" si="88"/>
        <v>7</v>
      </c>
      <c r="N326" s="8">
        <f t="shared" si="89"/>
        <v>15</v>
      </c>
      <c r="O326" s="8">
        <v>0</v>
      </c>
      <c r="P326" s="8">
        <v>0</v>
      </c>
      <c r="Q326" s="8">
        <v>0</v>
      </c>
      <c r="R326" s="8">
        <v>0</v>
      </c>
      <c r="S326" s="8">
        <v>0</v>
      </c>
      <c r="T326" s="8">
        <v>0</v>
      </c>
      <c r="U326" s="8">
        <v>250</v>
      </c>
      <c r="V326" s="8">
        <v>1</v>
      </c>
      <c r="W326" s="8">
        <v>12</v>
      </c>
      <c r="X326" s="8">
        <v>13</v>
      </c>
      <c r="Y326" s="8">
        <v>75</v>
      </c>
      <c r="Z326" s="8">
        <v>300</v>
      </c>
      <c r="AA326" s="8">
        <v>50</v>
      </c>
    </row>
    <row r="327" spans="1:28" s="8" customFormat="1">
      <c r="A327" s="8" t="str">
        <f t="shared" si="75"/>
        <v>PhyType.NewNpcType_905</v>
      </c>
      <c r="B327" s="8" t="s">
        <v>137</v>
      </c>
      <c r="C327" s="8">
        <v>905</v>
      </c>
      <c r="D327" s="9">
        <v>905</v>
      </c>
      <c r="E327" s="9"/>
      <c r="F327" s="9"/>
      <c r="G327" s="10" t="s">
        <v>51</v>
      </c>
      <c r="H327" s="10"/>
      <c r="I327" s="18">
        <v>19999</v>
      </c>
      <c r="J327" s="10"/>
      <c r="K327" s="8">
        <v>120</v>
      </c>
      <c r="L327" s="8">
        <v>180</v>
      </c>
      <c r="M327" s="8">
        <f t="shared" si="88"/>
        <v>120</v>
      </c>
      <c r="N327" s="8">
        <f t="shared" si="89"/>
        <v>180</v>
      </c>
      <c r="O327" s="8">
        <v>0</v>
      </c>
      <c r="P327" s="8">
        <v>0</v>
      </c>
      <c r="Q327" s="8">
        <v>30</v>
      </c>
      <c r="R327" s="8">
        <v>30</v>
      </c>
      <c r="S327" s="8">
        <v>40</v>
      </c>
      <c r="T327" s="8">
        <v>40</v>
      </c>
      <c r="U327" s="8">
        <v>12000</v>
      </c>
      <c r="V327" s="8">
        <v>1</v>
      </c>
      <c r="W327" s="8">
        <v>40</v>
      </c>
      <c r="X327" s="8">
        <v>40</v>
      </c>
      <c r="Y327" s="8">
        <v>75</v>
      </c>
      <c r="Z327" s="8">
        <v>300</v>
      </c>
      <c r="AA327" s="8">
        <v>50</v>
      </c>
    </row>
    <row r="328" spans="1:28" s="8" customFormat="1">
      <c r="A328" s="8" t="str">
        <f t="shared" si="75"/>
        <v>PhyType.NewNpcType_906</v>
      </c>
      <c r="B328" s="8" t="s">
        <v>137</v>
      </c>
      <c r="C328" s="8">
        <v>906</v>
      </c>
      <c r="D328" s="9">
        <v>906</v>
      </c>
      <c r="E328" s="9"/>
      <c r="F328" s="9"/>
      <c r="G328" s="10" t="s">
        <v>52</v>
      </c>
      <c r="H328" s="10" t="s">
        <v>107</v>
      </c>
      <c r="I328" s="18">
        <v>2199</v>
      </c>
      <c r="J328" s="10"/>
      <c r="K328" s="8">
        <v>40</v>
      </c>
      <c r="L328" s="8">
        <v>70</v>
      </c>
      <c r="M328" s="8">
        <f t="shared" si="88"/>
        <v>40</v>
      </c>
      <c r="N328" s="8">
        <f t="shared" si="89"/>
        <v>70</v>
      </c>
      <c r="O328" s="8">
        <v>0</v>
      </c>
      <c r="P328" s="8">
        <v>0</v>
      </c>
      <c r="Q328" s="8">
        <v>25</v>
      </c>
      <c r="R328" s="8">
        <v>25</v>
      </c>
      <c r="S328" s="8">
        <v>30</v>
      </c>
      <c r="T328" s="8">
        <v>30</v>
      </c>
      <c r="U328" s="8">
        <v>2200</v>
      </c>
      <c r="V328" s="8">
        <v>1</v>
      </c>
      <c r="W328" s="8">
        <v>20</v>
      </c>
      <c r="X328" s="8">
        <v>30</v>
      </c>
      <c r="Y328" s="8">
        <v>75</v>
      </c>
      <c r="Z328" s="8">
        <v>300</v>
      </c>
      <c r="AA328" s="8">
        <v>50</v>
      </c>
    </row>
    <row r="329" spans="1:28" s="8" customFormat="1">
      <c r="A329" s="8" t="str">
        <f t="shared" si="75"/>
        <v>PhyType.NewNpcType_907</v>
      </c>
      <c r="B329" s="8" t="s">
        <v>137</v>
      </c>
      <c r="C329" s="8">
        <v>907</v>
      </c>
      <c r="D329" s="9">
        <v>907</v>
      </c>
      <c r="E329" s="9"/>
      <c r="F329" s="9"/>
      <c r="G329" s="10" t="s">
        <v>53</v>
      </c>
      <c r="H329" s="10" t="s">
        <v>106</v>
      </c>
      <c r="I329" s="18">
        <v>1499</v>
      </c>
      <c r="J329" s="10"/>
      <c r="K329" s="8">
        <v>20</v>
      </c>
      <c r="L329" s="8">
        <v>45</v>
      </c>
      <c r="M329" s="8">
        <f t="shared" si="88"/>
        <v>20</v>
      </c>
      <c r="N329" s="8">
        <f t="shared" si="89"/>
        <v>45</v>
      </c>
      <c r="O329" s="8">
        <v>0</v>
      </c>
      <c r="P329" s="8">
        <v>0</v>
      </c>
      <c r="Q329" s="8">
        <v>15</v>
      </c>
      <c r="R329" s="8">
        <v>15</v>
      </c>
      <c r="S329" s="8">
        <v>200</v>
      </c>
      <c r="T329" s="8">
        <v>200</v>
      </c>
      <c r="U329" s="8">
        <v>1500</v>
      </c>
      <c r="V329" s="8">
        <v>1</v>
      </c>
      <c r="W329" s="8">
        <v>15</v>
      </c>
      <c r="X329" s="8">
        <v>15</v>
      </c>
      <c r="Y329" s="8">
        <v>75</v>
      </c>
      <c r="Z329" s="8">
        <v>300</v>
      </c>
      <c r="AA329" s="8">
        <v>50</v>
      </c>
    </row>
    <row r="330" spans="1:28" s="8" customFormat="1">
      <c r="A330" s="8" t="str">
        <f t="shared" si="75"/>
        <v>PhyType.NewNpcType_908</v>
      </c>
      <c r="B330" s="8" t="s">
        <v>137</v>
      </c>
      <c r="C330" s="8">
        <v>908</v>
      </c>
      <c r="D330" s="9">
        <v>908</v>
      </c>
      <c r="E330" s="9"/>
      <c r="F330" s="9"/>
      <c r="G330" s="10" t="s">
        <v>54</v>
      </c>
      <c r="H330" s="10" t="s">
        <v>131</v>
      </c>
      <c r="I330" s="18">
        <v>4999</v>
      </c>
      <c r="J330" s="10"/>
      <c r="K330" s="8">
        <v>60</v>
      </c>
      <c r="L330" s="8">
        <v>80</v>
      </c>
      <c r="M330" s="8">
        <f t="shared" si="88"/>
        <v>60</v>
      </c>
      <c r="N330" s="8">
        <f t="shared" si="89"/>
        <v>80</v>
      </c>
      <c r="O330" s="8">
        <v>0</v>
      </c>
      <c r="P330" s="8">
        <v>0</v>
      </c>
      <c r="Q330" s="8">
        <v>30</v>
      </c>
      <c r="R330" s="8">
        <v>30</v>
      </c>
      <c r="S330" s="8">
        <v>35</v>
      </c>
      <c r="T330" s="8">
        <v>35</v>
      </c>
      <c r="U330" s="8">
        <v>5000</v>
      </c>
      <c r="V330" s="8">
        <v>1</v>
      </c>
      <c r="W330" s="8">
        <v>30</v>
      </c>
      <c r="X330" s="8">
        <v>20</v>
      </c>
      <c r="Y330" s="8">
        <v>75</v>
      </c>
      <c r="Z330" s="8">
        <v>300</v>
      </c>
      <c r="AA330" s="8">
        <v>50</v>
      </c>
    </row>
    <row r="331" spans="1:28" s="8" customFormat="1">
      <c r="A331" s="8" t="str">
        <f t="shared" si="75"/>
        <v>PhyType.NewNpcType_909</v>
      </c>
      <c r="B331" s="8" t="s">
        <v>137</v>
      </c>
      <c r="C331" s="8">
        <v>909</v>
      </c>
      <c r="D331" s="9">
        <v>909</v>
      </c>
      <c r="E331" s="9"/>
      <c r="F331" s="9"/>
      <c r="G331" s="10" t="s">
        <v>130</v>
      </c>
      <c r="H331" s="10" t="s">
        <v>132</v>
      </c>
      <c r="I331" s="18">
        <v>3499</v>
      </c>
      <c r="J331" s="10"/>
      <c r="K331" s="8">
        <v>50</v>
      </c>
      <c r="L331" s="8">
        <v>85</v>
      </c>
      <c r="M331" s="8">
        <f t="shared" si="88"/>
        <v>50</v>
      </c>
      <c r="N331" s="8">
        <f t="shared" si="89"/>
        <v>85</v>
      </c>
      <c r="O331" s="8">
        <v>0</v>
      </c>
      <c r="P331" s="8">
        <v>0</v>
      </c>
      <c r="Q331" s="8">
        <v>30</v>
      </c>
      <c r="R331" s="8">
        <v>30</v>
      </c>
      <c r="S331" s="8">
        <v>35</v>
      </c>
      <c r="T331" s="8">
        <v>35</v>
      </c>
      <c r="U331" s="8">
        <v>3000</v>
      </c>
      <c r="V331" s="8">
        <v>1</v>
      </c>
      <c r="W331" s="8">
        <v>30</v>
      </c>
      <c r="X331" s="8">
        <v>32</v>
      </c>
      <c r="Y331" s="8">
        <v>75</v>
      </c>
      <c r="Z331" s="8">
        <v>300</v>
      </c>
      <c r="AA331" s="8">
        <v>50</v>
      </c>
    </row>
    <row r="332" spans="1:28" s="8" customFormat="1">
      <c r="A332" s="8" t="str">
        <f t="shared" ref="A332:A333" si="93">"PhyType.NewNpcType_"&amp;D332</f>
        <v>PhyType.NewNpcType_910</v>
      </c>
      <c r="B332" s="8" t="s">
        <v>137</v>
      </c>
      <c r="C332" s="8">
        <v>910</v>
      </c>
      <c r="D332" s="9">
        <v>910</v>
      </c>
      <c r="E332" s="9"/>
      <c r="F332" s="9"/>
      <c r="G332" s="10" t="s">
        <v>155</v>
      </c>
      <c r="H332" s="10" t="s">
        <v>82</v>
      </c>
      <c r="I332" s="18">
        <v>399</v>
      </c>
      <c r="J332" s="10"/>
      <c r="K332" s="8">
        <v>16</v>
      </c>
      <c r="L332" s="8">
        <v>25</v>
      </c>
      <c r="M332" s="8">
        <f t="shared" si="88"/>
        <v>16</v>
      </c>
      <c r="N332" s="8">
        <f t="shared" si="89"/>
        <v>25</v>
      </c>
      <c r="O332" s="8">
        <v>0</v>
      </c>
      <c r="P332" s="8">
        <v>0</v>
      </c>
      <c r="Q332" s="8">
        <v>3</v>
      </c>
      <c r="R332" s="8">
        <v>3</v>
      </c>
      <c r="S332" s="8">
        <v>4</v>
      </c>
      <c r="T332" s="8">
        <v>4</v>
      </c>
      <c r="U332" s="8">
        <v>400</v>
      </c>
      <c r="V332" s="8">
        <v>1</v>
      </c>
      <c r="W332" s="8">
        <v>18</v>
      </c>
      <c r="X332" s="8">
        <v>20</v>
      </c>
      <c r="Y332" s="8">
        <v>75</v>
      </c>
      <c r="Z332" s="8">
        <v>300</v>
      </c>
      <c r="AA332" s="8">
        <v>50</v>
      </c>
    </row>
    <row r="333" spans="1:28" s="8" customFormat="1">
      <c r="A333" s="8" t="str">
        <f t="shared" si="93"/>
        <v>PhyType.NewNpcType_911</v>
      </c>
      <c r="B333" s="8" t="s">
        <v>137</v>
      </c>
      <c r="C333" s="8">
        <v>911</v>
      </c>
      <c r="D333" s="9">
        <v>911</v>
      </c>
      <c r="E333" s="9"/>
      <c r="F333" s="9"/>
      <c r="G333" s="10" t="s">
        <v>306</v>
      </c>
      <c r="H333" s="10" t="s">
        <v>307</v>
      </c>
      <c r="I333" s="18">
        <v>49999</v>
      </c>
      <c r="J333" s="10"/>
      <c r="K333" s="8">
        <v>200</v>
      </c>
      <c r="L333" s="8">
        <v>220</v>
      </c>
      <c r="M333" s="8">
        <f t="shared" ref="M333" si="94">K333</f>
        <v>200</v>
      </c>
      <c r="N333" s="8">
        <f t="shared" ref="N333" si="95">L333</f>
        <v>220</v>
      </c>
      <c r="O333" s="8">
        <v>0</v>
      </c>
      <c r="P333" s="8">
        <v>0</v>
      </c>
      <c r="Q333" s="8">
        <v>30</v>
      </c>
      <c r="R333" s="8">
        <v>30</v>
      </c>
      <c r="S333" s="8">
        <v>50</v>
      </c>
      <c r="T333" s="8">
        <v>80</v>
      </c>
      <c r="U333" s="8">
        <v>450000</v>
      </c>
      <c r="V333" s="8">
        <v>1</v>
      </c>
      <c r="W333" s="8">
        <v>30</v>
      </c>
      <c r="X333" s="8">
        <v>30</v>
      </c>
      <c r="Y333" s="8">
        <v>75</v>
      </c>
      <c r="Z333" s="8">
        <v>300</v>
      </c>
      <c r="AA333" s="8">
        <v>50</v>
      </c>
    </row>
    <row r="334" spans="1:28" s="11" customFormat="1">
      <c r="A334" s="11" t="str">
        <f t="shared" ref="A334:A338" si="96">"PhyType.NewNpcType_"&amp;D334</f>
        <v>PhyType.NewNpcType_951</v>
      </c>
      <c r="B334" s="11" t="s">
        <v>137</v>
      </c>
      <c r="C334" s="11">
        <v>951</v>
      </c>
      <c r="D334" s="12">
        <v>951</v>
      </c>
      <c r="E334" s="12"/>
      <c r="F334" s="12"/>
      <c r="G334" s="13" t="s">
        <v>161</v>
      </c>
      <c r="H334" s="13" t="s">
        <v>82</v>
      </c>
      <c r="I334" s="19">
        <v>1199</v>
      </c>
      <c r="J334" s="13"/>
      <c r="K334" s="11">
        <v>22</v>
      </c>
      <c r="L334" s="11">
        <v>42</v>
      </c>
      <c r="M334" s="11">
        <f t="shared" si="88"/>
        <v>22</v>
      </c>
      <c r="N334" s="11">
        <f t="shared" si="89"/>
        <v>42</v>
      </c>
      <c r="O334" s="11">
        <v>0</v>
      </c>
      <c r="P334" s="11">
        <v>0</v>
      </c>
      <c r="Q334" s="11">
        <v>8</v>
      </c>
      <c r="R334" s="11">
        <v>8</v>
      </c>
      <c r="S334" s="11">
        <v>8</v>
      </c>
      <c r="T334" s="11">
        <v>8</v>
      </c>
      <c r="U334" s="11">
        <v>1000</v>
      </c>
      <c r="V334" s="11">
        <v>1</v>
      </c>
      <c r="W334" s="11">
        <v>17</v>
      </c>
      <c r="X334" s="11">
        <v>20</v>
      </c>
      <c r="Y334" s="11">
        <v>75</v>
      </c>
      <c r="Z334" s="11">
        <v>300</v>
      </c>
      <c r="AA334" s="11">
        <v>50</v>
      </c>
    </row>
    <row r="335" spans="1:28" s="11" customFormat="1">
      <c r="A335" s="11" t="str">
        <f t="shared" si="96"/>
        <v>PhyType.NewNpcType_952</v>
      </c>
      <c r="B335" s="11" t="s">
        <v>137</v>
      </c>
      <c r="C335" s="11">
        <v>952</v>
      </c>
      <c r="D335" s="12">
        <v>952</v>
      </c>
      <c r="E335" s="12"/>
      <c r="F335" s="12"/>
      <c r="G335" s="13" t="s">
        <v>156</v>
      </c>
      <c r="H335" s="13" t="s">
        <v>82</v>
      </c>
      <c r="I335" s="19">
        <v>1399</v>
      </c>
      <c r="J335" s="13"/>
      <c r="K335" s="11">
        <v>22</v>
      </c>
      <c r="L335" s="11">
        <v>45</v>
      </c>
      <c r="M335" s="11">
        <f t="shared" si="88"/>
        <v>22</v>
      </c>
      <c r="N335" s="11">
        <f t="shared" si="89"/>
        <v>45</v>
      </c>
      <c r="O335" s="11">
        <v>0</v>
      </c>
      <c r="P335" s="11">
        <v>0</v>
      </c>
      <c r="Q335" s="11">
        <v>20</v>
      </c>
      <c r="R335" s="11">
        <v>20</v>
      </c>
      <c r="S335" s="11">
        <v>10</v>
      </c>
      <c r="T335" s="11">
        <v>10</v>
      </c>
      <c r="U335" s="11">
        <v>1000</v>
      </c>
      <c r="V335" s="11">
        <v>1</v>
      </c>
      <c r="W335" s="11">
        <v>17</v>
      </c>
      <c r="X335" s="11">
        <v>15</v>
      </c>
      <c r="Y335" s="11">
        <v>75</v>
      </c>
      <c r="Z335" s="11">
        <v>300</v>
      </c>
      <c r="AA335" s="11">
        <v>50</v>
      </c>
    </row>
    <row r="336" spans="1:28" s="11" customFormat="1">
      <c r="A336" s="11" t="str">
        <f t="shared" si="96"/>
        <v>PhyType.NewNpcType_953</v>
      </c>
      <c r="B336" s="11" t="s">
        <v>137</v>
      </c>
      <c r="C336" s="11">
        <v>953</v>
      </c>
      <c r="D336" s="12">
        <v>953</v>
      </c>
      <c r="E336" s="12"/>
      <c r="F336" s="12"/>
      <c r="G336" s="13" t="s">
        <v>157</v>
      </c>
      <c r="H336" s="13" t="s">
        <v>94</v>
      </c>
      <c r="I336" s="19">
        <v>1599</v>
      </c>
      <c r="J336" s="13"/>
      <c r="K336" s="11">
        <v>30</v>
      </c>
      <c r="L336" s="11">
        <v>55</v>
      </c>
      <c r="M336" s="11">
        <f t="shared" si="88"/>
        <v>30</v>
      </c>
      <c r="N336" s="11">
        <f t="shared" si="89"/>
        <v>55</v>
      </c>
      <c r="O336" s="11">
        <v>0</v>
      </c>
      <c r="P336" s="11">
        <v>0</v>
      </c>
      <c r="Q336" s="11">
        <v>15</v>
      </c>
      <c r="R336" s="11">
        <v>15</v>
      </c>
      <c r="S336" s="11">
        <v>15</v>
      </c>
      <c r="T336" s="11">
        <v>15</v>
      </c>
      <c r="U336" s="11">
        <v>1000</v>
      </c>
      <c r="V336" s="11">
        <v>1</v>
      </c>
      <c r="W336" s="11">
        <v>17</v>
      </c>
      <c r="X336" s="11">
        <v>25</v>
      </c>
      <c r="Y336" s="11">
        <v>75</v>
      </c>
      <c r="Z336" s="11">
        <v>300</v>
      </c>
      <c r="AA336" s="11">
        <v>50</v>
      </c>
    </row>
    <row r="337" spans="1:27" s="11" customFormat="1">
      <c r="A337" s="11" t="str">
        <f t="shared" si="96"/>
        <v>PhyType.NewNpcType_954</v>
      </c>
      <c r="B337" s="11" t="s">
        <v>137</v>
      </c>
      <c r="C337" s="11">
        <v>954</v>
      </c>
      <c r="D337" s="12">
        <v>954</v>
      </c>
      <c r="E337" s="12"/>
      <c r="F337" s="12"/>
      <c r="G337" s="13" t="s">
        <v>159</v>
      </c>
      <c r="H337" s="13" t="s">
        <v>96</v>
      </c>
      <c r="I337" s="19">
        <v>1999</v>
      </c>
      <c r="J337" s="13"/>
      <c r="K337" s="11">
        <v>40</v>
      </c>
      <c r="L337" s="11">
        <v>60</v>
      </c>
      <c r="M337" s="11">
        <f t="shared" si="88"/>
        <v>40</v>
      </c>
      <c r="N337" s="11">
        <f t="shared" si="89"/>
        <v>60</v>
      </c>
      <c r="O337" s="11">
        <v>0</v>
      </c>
      <c r="P337" s="11">
        <v>0</v>
      </c>
      <c r="Q337" s="11">
        <v>20</v>
      </c>
      <c r="R337" s="11">
        <v>20</v>
      </c>
      <c r="S337" s="11">
        <v>20</v>
      </c>
      <c r="T337" s="11">
        <v>20</v>
      </c>
      <c r="U337" s="11">
        <v>1500</v>
      </c>
      <c r="V337" s="11">
        <v>1</v>
      </c>
      <c r="W337" s="11">
        <v>17</v>
      </c>
      <c r="X337" s="11">
        <v>25</v>
      </c>
      <c r="Y337" s="11">
        <v>75</v>
      </c>
      <c r="Z337" s="11">
        <v>300</v>
      </c>
      <c r="AA337" s="11">
        <v>50</v>
      </c>
    </row>
    <row r="338" spans="1:27" s="11" customFormat="1">
      <c r="A338" s="11" t="str">
        <f t="shared" si="96"/>
        <v>PhyType.NewNpcType_955</v>
      </c>
      <c r="B338" s="11" t="s">
        <v>137</v>
      </c>
      <c r="C338" s="11">
        <v>955</v>
      </c>
      <c r="D338" s="12">
        <v>955</v>
      </c>
      <c r="E338" s="12"/>
      <c r="F338" s="12"/>
      <c r="G338" s="13" t="s">
        <v>158</v>
      </c>
      <c r="H338" s="13" t="s">
        <v>96</v>
      </c>
      <c r="I338" s="19">
        <v>2499</v>
      </c>
      <c r="J338" s="13"/>
      <c r="K338" s="11">
        <v>45</v>
      </c>
      <c r="L338" s="11">
        <v>65</v>
      </c>
      <c r="M338" s="11">
        <f t="shared" si="88"/>
        <v>45</v>
      </c>
      <c r="N338" s="11">
        <f t="shared" si="89"/>
        <v>65</v>
      </c>
      <c r="O338" s="11">
        <v>0</v>
      </c>
      <c r="P338" s="11">
        <v>0</v>
      </c>
      <c r="Q338" s="11">
        <v>25</v>
      </c>
      <c r="R338" s="11">
        <v>25</v>
      </c>
      <c r="S338" s="11">
        <v>25</v>
      </c>
      <c r="T338" s="11">
        <v>25</v>
      </c>
      <c r="U338" s="11">
        <v>2000</v>
      </c>
      <c r="V338" s="11">
        <v>1</v>
      </c>
      <c r="W338" s="11">
        <v>17</v>
      </c>
      <c r="X338" s="11">
        <v>25</v>
      </c>
      <c r="Y338" s="11">
        <v>75</v>
      </c>
      <c r="Z338" s="11">
        <v>300</v>
      </c>
      <c r="AA338" s="11">
        <v>50</v>
      </c>
    </row>
    <row r="339" spans="1:27" s="11" customFormat="1">
      <c r="A339" s="11" t="str">
        <f t="shared" ref="A339:A340" si="97">"PhyType.NewNpcType_"&amp;D339</f>
        <v>PhyType.NewNpcType_956</v>
      </c>
      <c r="B339" s="11" t="s">
        <v>137</v>
      </c>
      <c r="C339" s="11">
        <v>956</v>
      </c>
      <c r="D339" s="12">
        <v>956</v>
      </c>
      <c r="E339" s="12"/>
      <c r="F339" s="12"/>
      <c r="G339" s="13" t="s">
        <v>303</v>
      </c>
      <c r="H339" s="13" t="s">
        <v>305</v>
      </c>
      <c r="I339" s="19">
        <v>3999</v>
      </c>
      <c r="J339" s="13"/>
      <c r="K339" s="11">
        <v>100</v>
      </c>
      <c r="L339" s="11">
        <v>100</v>
      </c>
      <c r="M339" s="11">
        <f t="shared" ref="M339:M340" si="98">K339</f>
        <v>100</v>
      </c>
      <c r="N339" s="11">
        <f t="shared" ref="N339:N340" si="99">L339</f>
        <v>100</v>
      </c>
      <c r="O339" s="11">
        <v>0</v>
      </c>
      <c r="P339" s="11">
        <v>0</v>
      </c>
      <c r="Q339" s="11">
        <v>5</v>
      </c>
      <c r="R339" s="11">
        <v>5</v>
      </c>
      <c r="S339" s="11">
        <v>50</v>
      </c>
      <c r="T339" s="11">
        <v>50</v>
      </c>
      <c r="U339" s="11">
        <v>5000</v>
      </c>
      <c r="V339" s="11">
        <v>1</v>
      </c>
      <c r="W339" s="11">
        <v>30</v>
      </c>
      <c r="X339" s="11">
        <v>25</v>
      </c>
      <c r="Y339" s="11">
        <v>75</v>
      </c>
      <c r="Z339" s="11">
        <v>300</v>
      </c>
      <c r="AA339" s="11">
        <v>50</v>
      </c>
    </row>
    <row r="340" spans="1:27" s="11" customFormat="1">
      <c r="A340" s="11" t="str">
        <f t="shared" si="97"/>
        <v>PhyType.NewNpcType_957</v>
      </c>
      <c r="B340" s="11" t="s">
        <v>137</v>
      </c>
      <c r="C340" s="11">
        <v>957</v>
      </c>
      <c r="D340" s="12">
        <v>957</v>
      </c>
      <c r="E340" s="12"/>
      <c r="F340" s="12"/>
      <c r="G340" s="13" t="s">
        <v>304</v>
      </c>
      <c r="H340" s="13" t="s">
        <v>305</v>
      </c>
      <c r="I340" s="19">
        <v>3999</v>
      </c>
      <c r="J340" s="13"/>
      <c r="K340" s="11">
        <v>100</v>
      </c>
      <c r="L340" s="11">
        <v>160</v>
      </c>
      <c r="M340" s="11">
        <f t="shared" si="98"/>
        <v>100</v>
      </c>
      <c r="N340" s="11">
        <f t="shared" si="99"/>
        <v>160</v>
      </c>
      <c r="O340" s="11">
        <v>0</v>
      </c>
      <c r="P340" s="11">
        <v>0</v>
      </c>
      <c r="Q340" s="11">
        <v>40</v>
      </c>
      <c r="R340" s="11">
        <v>40</v>
      </c>
      <c r="S340" s="11">
        <v>10</v>
      </c>
      <c r="T340" s="11">
        <v>10</v>
      </c>
      <c r="U340" s="11">
        <v>5000</v>
      </c>
      <c r="V340" s="11">
        <v>1</v>
      </c>
      <c r="W340" s="11">
        <v>30</v>
      </c>
      <c r="X340" s="11">
        <v>20</v>
      </c>
      <c r="Y340" s="11">
        <v>75</v>
      </c>
      <c r="Z340" s="11">
        <v>300</v>
      </c>
      <c r="AA340" s="11">
        <v>50</v>
      </c>
    </row>
    <row r="341" spans="1:27" s="22" customFormat="1">
      <c r="A341" s="22" t="str">
        <f t="shared" ref="A341:A345" si="100">"PhyType.NewNpcType_"&amp;D341</f>
        <v>PhyType.NewNpcType_1001</v>
      </c>
      <c r="B341" s="22" t="s">
        <v>137</v>
      </c>
      <c r="C341" s="22">
        <v>1001</v>
      </c>
      <c r="D341" s="23">
        <v>1001</v>
      </c>
      <c r="E341" s="23"/>
      <c r="F341" s="23"/>
      <c r="G341" s="24" t="s">
        <v>172</v>
      </c>
      <c r="H341" s="24" t="s">
        <v>177</v>
      </c>
      <c r="I341" s="25">
        <v>499</v>
      </c>
      <c r="J341" s="24"/>
      <c r="K341" s="22">
        <v>15</v>
      </c>
      <c r="L341" s="22">
        <v>25</v>
      </c>
      <c r="M341" s="22">
        <f t="shared" si="88"/>
        <v>15</v>
      </c>
      <c r="N341" s="22">
        <f t="shared" si="89"/>
        <v>25</v>
      </c>
      <c r="O341" s="22">
        <v>0</v>
      </c>
      <c r="P341" s="22">
        <v>0</v>
      </c>
      <c r="Q341" s="22">
        <v>5</v>
      </c>
      <c r="R341" s="22">
        <v>5</v>
      </c>
      <c r="S341" s="22">
        <v>10</v>
      </c>
      <c r="T341" s="22">
        <v>10</v>
      </c>
      <c r="U341" s="22">
        <v>500</v>
      </c>
      <c r="V341" s="22">
        <v>1</v>
      </c>
      <c r="W341" s="22">
        <v>15</v>
      </c>
      <c r="X341" s="22">
        <v>18</v>
      </c>
      <c r="Y341" s="22">
        <v>75</v>
      </c>
      <c r="Z341" s="22">
        <v>300</v>
      </c>
      <c r="AA341" s="22">
        <v>50</v>
      </c>
    </row>
    <row r="342" spans="1:27" s="22" customFormat="1">
      <c r="A342" s="22" t="str">
        <f t="shared" si="100"/>
        <v>PhyType.NewNpcType_1002</v>
      </c>
      <c r="B342" s="22" t="s">
        <v>137</v>
      </c>
      <c r="C342" s="22">
        <v>1002</v>
      </c>
      <c r="D342" s="23">
        <v>1002</v>
      </c>
      <c r="E342" s="23"/>
      <c r="F342" s="23"/>
      <c r="G342" s="24" t="s">
        <v>173</v>
      </c>
      <c r="H342" s="24" t="s">
        <v>178</v>
      </c>
      <c r="I342" s="25">
        <v>999</v>
      </c>
      <c r="J342" s="24"/>
      <c r="K342" s="22">
        <v>20</v>
      </c>
      <c r="L342" s="22">
        <v>33</v>
      </c>
      <c r="M342" s="22">
        <f t="shared" si="88"/>
        <v>20</v>
      </c>
      <c r="N342" s="22">
        <f t="shared" si="89"/>
        <v>33</v>
      </c>
      <c r="O342" s="22">
        <v>0</v>
      </c>
      <c r="P342" s="22">
        <v>0</v>
      </c>
      <c r="Q342" s="22">
        <v>10</v>
      </c>
      <c r="R342" s="22">
        <v>10</v>
      </c>
      <c r="S342" s="22">
        <v>15</v>
      </c>
      <c r="T342" s="22">
        <v>15</v>
      </c>
      <c r="U342" s="22">
        <v>1000</v>
      </c>
      <c r="V342" s="22">
        <v>1</v>
      </c>
      <c r="W342" s="22">
        <v>17</v>
      </c>
      <c r="X342" s="22">
        <v>20</v>
      </c>
      <c r="Y342" s="22">
        <v>75</v>
      </c>
      <c r="Z342" s="22">
        <v>300</v>
      </c>
      <c r="AA342" s="22">
        <v>50</v>
      </c>
    </row>
    <row r="343" spans="1:27" s="22" customFormat="1">
      <c r="A343" s="22" t="str">
        <f t="shared" si="100"/>
        <v>PhyType.NewNpcType_1003</v>
      </c>
      <c r="B343" s="22" t="s">
        <v>137</v>
      </c>
      <c r="C343" s="22">
        <v>1003</v>
      </c>
      <c r="D343" s="23">
        <v>1003</v>
      </c>
      <c r="E343" s="23"/>
      <c r="F343" s="23"/>
      <c r="G343" s="24" t="s">
        <v>174</v>
      </c>
      <c r="H343" s="24" t="s">
        <v>94</v>
      </c>
      <c r="I343" s="25">
        <v>1499</v>
      </c>
      <c r="J343" s="24"/>
      <c r="K343" s="22">
        <v>25</v>
      </c>
      <c r="L343" s="22">
        <v>40</v>
      </c>
      <c r="M343" s="22">
        <f t="shared" si="88"/>
        <v>25</v>
      </c>
      <c r="N343" s="22">
        <f t="shared" si="89"/>
        <v>40</v>
      </c>
      <c r="O343" s="22">
        <v>0</v>
      </c>
      <c r="P343" s="22">
        <v>0</v>
      </c>
      <c r="Q343" s="22">
        <v>10</v>
      </c>
      <c r="R343" s="22">
        <v>10</v>
      </c>
      <c r="S343" s="22">
        <v>15</v>
      </c>
      <c r="T343" s="22">
        <v>15</v>
      </c>
      <c r="U343" s="22">
        <v>1500</v>
      </c>
      <c r="V343" s="22">
        <v>1</v>
      </c>
      <c r="W343" s="22">
        <v>17</v>
      </c>
      <c r="X343" s="22">
        <v>20</v>
      </c>
      <c r="Y343" s="22">
        <v>75</v>
      </c>
      <c r="Z343" s="22">
        <v>300</v>
      </c>
      <c r="AA343" s="22">
        <v>50</v>
      </c>
    </row>
    <row r="344" spans="1:27" s="22" customFormat="1">
      <c r="A344" s="22" t="str">
        <f t="shared" si="100"/>
        <v>PhyType.NewNpcType_1004</v>
      </c>
      <c r="B344" s="22" t="s">
        <v>137</v>
      </c>
      <c r="C344" s="22">
        <v>1004</v>
      </c>
      <c r="D344" s="23">
        <v>1004</v>
      </c>
      <c r="E344" s="23"/>
      <c r="F344" s="23"/>
      <c r="G344" s="24" t="s">
        <v>175</v>
      </c>
      <c r="H344" s="24" t="s">
        <v>179</v>
      </c>
      <c r="I344" s="25">
        <v>1999</v>
      </c>
      <c r="J344" s="24"/>
      <c r="K344" s="22">
        <v>30</v>
      </c>
      <c r="L344" s="22">
        <v>50</v>
      </c>
      <c r="M344" s="22">
        <f t="shared" si="88"/>
        <v>30</v>
      </c>
      <c r="N344" s="22">
        <f t="shared" si="89"/>
        <v>50</v>
      </c>
      <c r="O344" s="22">
        <v>0</v>
      </c>
      <c r="P344" s="22">
        <v>0</v>
      </c>
      <c r="Q344" s="22">
        <v>15</v>
      </c>
      <c r="R344" s="22">
        <v>15</v>
      </c>
      <c r="S344" s="22">
        <v>20</v>
      </c>
      <c r="T344" s="22">
        <v>20</v>
      </c>
      <c r="U344" s="22">
        <v>2000</v>
      </c>
      <c r="V344" s="22">
        <v>1</v>
      </c>
      <c r="W344" s="22">
        <v>17</v>
      </c>
      <c r="X344" s="22">
        <v>20</v>
      </c>
      <c r="Y344" s="22">
        <v>75</v>
      </c>
      <c r="Z344" s="22">
        <v>300</v>
      </c>
      <c r="AA344" s="22">
        <v>50</v>
      </c>
    </row>
    <row r="345" spans="1:27" s="22" customFormat="1">
      <c r="A345" s="22" t="str">
        <f t="shared" si="100"/>
        <v>PhyType.NewNpcType_1005</v>
      </c>
      <c r="B345" s="22" t="s">
        <v>137</v>
      </c>
      <c r="C345" s="22">
        <v>1005</v>
      </c>
      <c r="D345" s="23">
        <v>1005</v>
      </c>
      <c r="E345" s="23"/>
      <c r="F345" s="23"/>
      <c r="G345" s="24" t="s">
        <v>176</v>
      </c>
      <c r="H345" s="24" t="s">
        <v>180</v>
      </c>
      <c r="I345" s="25">
        <v>999</v>
      </c>
      <c r="J345" s="24"/>
      <c r="K345" s="22">
        <v>25</v>
      </c>
      <c r="L345" s="22">
        <v>40</v>
      </c>
      <c r="M345" s="22">
        <f t="shared" si="88"/>
        <v>25</v>
      </c>
      <c r="N345" s="22">
        <f t="shared" si="89"/>
        <v>40</v>
      </c>
      <c r="O345" s="22">
        <v>0</v>
      </c>
      <c r="P345" s="22">
        <v>0</v>
      </c>
      <c r="Q345" s="22">
        <v>10</v>
      </c>
      <c r="R345" s="22">
        <v>10</v>
      </c>
      <c r="S345" s="22">
        <v>15</v>
      </c>
      <c r="T345" s="22">
        <v>15</v>
      </c>
      <c r="U345" s="22">
        <v>1000</v>
      </c>
      <c r="V345" s="22">
        <v>1</v>
      </c>
      <c r="W345" s="22">
        <v>17</v>
      </c>
      <c r="X345" s="22">
        <v>20</v>
      </c>
      <c r="Y345" s="22">
        <v>75</v>
      </c>
      <c r="Z345" s="22">
        <v>300</v>
      </c>
      <c r="AA345" s="22">
        <v>50</v>
      </c>
    </row>
    <row r="346" spans="1:27" s="22" customFormat="1">
      <c r="A346" s="22" t="str">
        <f t="shared" ref="A346" si="101">"PhyType.NewNpcType_"&amp;D346</f>
        <v>PhyType.NewNpcType_1006</v>
      </c>
      <c r="B346" s="22" t="s">
        <v>137</v>
      </c>
      <c r="C346" s="22">
        <v>1006</v>
      </c>
      <c r="D346" s="23">
        <v>1006</v>
      </c>
      <c r="E346" s="23"/>
      <c r="F346" s="23"/>
      <c r="G346" s="24" t="s">
        <v>300</v>
      </c>
      <c r="H346" s="24" t="s">
        <v>301</v>
      </c>
      <c r="I346" s="25">
        <v>2999</v>
      </c>
      <c r="J346" s="24"/>
      <c r="K346" s="22">
        <v>40</v>
      </c>
      <c r="L346" s="22">
        <v>65</v>
      </c>
      <c r="M346" s="22">
        <f t="shared" ref="M346" si="102">K346</f>
        <v>40</v>
      </c>
      <c r="N346" s="22">
        <f t="shared" ref="N346" si="103">L346</f>
        <v>65</v>
      </c>
      <c r="O346" s="22">
        <v>0</v>
      </c>
      <c r="P346" s="22">
        <v>0</v>
      </c>
      <c r="Q346" s="22">
        <v>20</v>
      </c>
      <c r="R346" s="22">
        <v>20</v>
      </c>
      <c r="S346" s="22">
        <v>30</v>
      </c>
      <c r="T346" s="22">
        <v>30</v>
      </c>
      <c r="U346" s="22">
        <v>3000</v>
      </c>
      <c r="V346" s="22">
        <v>1</v>
      </c>
      <c r="W346" s="22">
        <v>19</v>
      </c>
      <c r="X346" s="22">
        <v>22</v>
      </c>
      <c r="Y346" s="22">
        <v>75</v>
      </c>
      <c r="Z346" s="22">
        <v>300</v>
      </c>
      <c r="AA346" s="22">
        <v>50</v>
      </c>
    </row>
    <row r="347" spans="1:27" s="26" customFormat="1">
      <c r="A347" s="26" t="str">
        <f t="shared" ref="A347:A354" si="104">"PhyType.NewNpcType_"&amp;D347</f>
        <v>PhyType.NewNpcType_2001</v>
      </c>
      <c r="B347" s="26" t="s">
        <v>137</v>
      </c>
      <c r="C347" s="26">
        <v>2001</v>
      </c>
      <c r="D347" s="27">
        <v>2001</v>
      </c>
      <c r="E347" s="27"/>
      <c r="F347" s="27"/>
      <c r="G347" s="28" t="s">
        <v>213</v>
      </c>
      <c r="H347" s="28" t="s">
        <v>190</v>
      </c>
      <c r="I347" s="29">
        <v>239</v>
      </c>
      <c r="J347" s="28"/>
      <c r="K347" s="26">
        <v>8</v>
      </c>
      <c r="L347" s="26">
        <v>12</v>
      </c>
      <c r="M347" s="26">
        <f t="shared" si="88"/>
        <v>8</v>
      </c>
      <c r="N347" s="26">
        <f t="shared" si="89"/>
        <v>12</v>
      </c>
      <c r="O347" s="26">
        <v>0</v>
      </c>
      <c r="P347" s="26">
        <v>0</v>
      </c>
      <c r="Q347" s="26">
        <v>1</v>
      </c>
      <c r="R347" s="26">
        <v>1</v>
      </c>
      <c r="S347" s="26">
        <v>2</v>
      </c>
      <c r="T347" s="26">
        <v>2</v>
      </c>
      <c r="U347" s="26">
        <v>260</v>
      </c>
      <c r="V347" s="26">
        <v>1</v>
      </c>
      <c r="W347" s="26">
        <v>7</v>
      </c>
      <c r="X347" s="26">
        <v>10</v>
      </c>
      <c r="Y347" s="26">
        <v>75</v>
      </c>
      <c r="Z347" s="26">
        <v>300</v>
      </c>
      <c r="AA347" s="26">
        <v>50</v>
      </c>
    </row>
    <row r="348" spans="1:27" s="26" customFormat="1">
      <c r="A348" s="26" t="str">
        <f t="shared" si="104"/>
        <v>PhyType.NewNpcType_2002</v>
      </c>
      <c r="B348" s="26" t="s">
        <v>137</v>
      </c>
      <c r="C348" s="26">
        <v>2002</v>
      </c>
      <c r="D348" s="27">
        <v>2002</v>
      </c>
      <c r="E348" s="27"/>
      <c r="F348" s="27"/>
      <c r="G348" s="28" t="s">
        <v>214</v>
      </c>
      <c r="H348" s="28" t="s">
        <v>190</v>
      </c>
      <c r="I348" s="29">
        <v>319</v>
      </c>
      <c r="J348" s="28"/>
      <c r="K348" s="26">
        <v>10</v>
      </c>
      <c r="L348" s="26">
        <v>16</v>
      </c>
      <c r="M348" s="26">
        <f t="shared" si="88"/>
        <v>10</v>
      </c>
      <c r="N348" s="26">
        <f t="shared" si="89"/>
        <v>16</v>
      </c>
      <c r="O348" s="26">
        <v>0</v>
      </c>
      <c r="P348" s="26">
        <v>0</v>
      </c>
      <c r="Q348" s="26">
        <v>2</v>
      </c>
      <c r="R348" s="26">
        <v>2</v>
      </c>
      <c r="S348" s="26">
        <v>4</v>
      </c>
      <c r="T348" s="26">
        <v>4</v>
      </c>
      <c r="U348" s="26">
        <v>340</v>
      </c>
      <c r="V348" s="26">
        <v>1</v>
      </c>
      <c r="W348" s="26">
        <v>8</v>
      </c>
      <c r="X348" s="26">
        <v>11</v>
      </c>
      <c r="Y348" s="26">
        <v>75</v>
      </c>
      <c r="Z348" s="26">
        <v>300</v>
      </c>
      <c r="AA348" s="26">
        <v>50</v>
      </c>
    </row>
    <row r="349" spans="1:27" s="26" customFormat="1">
      <c r="A349" s="26" t="str">
        <f t="shared" si="104"/>
        <v>PhyType.NewNpcType_2003</v>
      </c>
      <c r="B349" s="26" t="s">
        <v>137</v>
      </c>
      <c r="C349" s="26">
        <v>2003</v>
      </c>
      <c r="D349" s="27">
        <v>2003</v>
      </c>
      <c r="E349" s="27"/>
      <c r="F349" s="27"/>
      <c r="G349" s="28" t="s">
        <v>215</v>
      </c>
      <c r="H349" s="28" t="s">
        <v>190</v>
      </c>
      <c r="I349" s="29">
        <v>419</v>
      </c>
      <c r="J349" s="28"/>
      <c r="K349" s="26">
        <v>12</v>
      </c>
      <c r="L349" s="26">
        <v>20</v>
      </c>
      <c r="M349" s="26">
        <f t="shared" si="88"/>
        <v>12</v>
      </c>
      <c r="N349" s="26">
        <f t="shared" si="89"/>
        <v>20</v>
      </c>
      <c r="O349" s="26">
        <v>0</v>
      </c>
      <c r="P349" s="26">
        <v>0</v>
      </c>
      <c r="Q349" s="26">
        <v>3</v>
      </c>
      <c r="R349" s="26">
        <v>3</v>
      </c>
      <c r="S349" s="26">
        <v>6</v>
      </c>
      <c r="T349" s="26">
        <v>6</v>
      </c>
      <c r="U349" s="26">
        <v>440</v>
      </c>
      <c r="V349" s="26">
        <v>1</v>
      </c>
      <c r="W349" s="26">
        <v>9</v>
      </c>
      <c r="X349" s="26">
        <v>12</v>
      </c>
      <c r="Y349" s="26">
        <v>75</v>
      </c>
      <c r="Z349" s="26">
        <v>300</v>
      </c>
      <c r="AA349" s="26">
        <v>50</v>
      </c>
    </row>
    <row r="350" spans="1:27" s="26" customFormat="1">
      <c r="A350" s="26" t="str">
        <f t="shared" si="104"/>
        <v>PhyType.NewNpcType_2004</v>
      </c>
      <c r="B350" s="26" t="s">
        <v>137</v>
      </c>
      <c r="C350" s="26">
        <v>2004</v>
      </c>
      <c r="D350" s="27">
        <v>2004</v>
      </c>
      <c r="E350" s="27"/>
      <c r="F350" s="27"/>
      <c r="G350" s="28" t="s">
        <v>216</v>
      </c>
      <c r="H350" s="28" t="s">
        <v>190</v>
      </c>
      <c r="I350" s="29">
        <v>539</v>
      </c>
      <c r="J350" s="28"/>
      <c r="K350" s="26">
        <v>15</v>
      </c>
      <c r="L350" s="26">
        <v>25</v>
      </c>
      <c r="M350" s="26">
        <f t="shared" si="88"/>
        <v>15</v>
      </c>
      <c r="N350" s="26">
        <f t="shared" si="89"/>
        <v>25</v>
      </c>
      <c r="O350" s="26">
        <v>0</v>
      </c>
      <c r="P350" s="26">
        <v>0</v>
      </c>
      <c r="Q350" s="26">
        <v>4</v>
      </c>
      <c r="R350" s="26">
        <v>4</v>
      </c>
      <c r="S350" s="26">
        <v>8</v>
      </c>
      <c r="T350" s="26">
        <v>8</v>
      </c>
      <c r="U350" s="26">
        <v>540</v>
      </c>
      <c r="V350" s="26">
        <v>1</v>
      </c>
      <c r="W350" s="26">
        <v>10</v>
      </c>
      <c r="X350" s="26">
        <v>13</v>
      </c>
      <c r="Y350" s="26">
        <v>75</v>
      </c>
      <c r="Z350" s="26">
        <v>300</v>
      </c>
      <c r="AA350" s="26">
        <v>50</v>
      </c>
    </row>
    <row r="351" spans="1:27" s="26" customFormat="1">
      <c r="A351" s="26" t="str">
        <f t="shared" si="104"/>
        <v>PhyType.NewNpcType_2005</v>
      </c>
      <c r="B351" s="26" t="s">
        <v>137</v>
      </c>
      <c r="C351" s="26">
        <v>2005</v>
      </c>
      <c r="D351" s="27">
        <v>2005</v>
      </c>
      <c r="E351" s="27"/>
      <c r="F351" s="27"/>
      <c r="G351" s="28" t="s">
        <v>217</v>
      </c>
      <c r="H351" s="28" t="s">
        <v>190</v>
      </c>
      <c r="I351" s="29">
        <v>679</v>
      </c>
      <c r="J351" s="28"/>
      <c r="K351" s="26">
        <v>18</v>
      </c>
      <c r="L351" s="26">
        <v>30</v>
      </c>
      <c r="M351" s="26">
        <f t="shared" si="88"/>
        <v>18</v>
      </c>
      <c r="N351" s="26">
        <f t="shared" si="89"/>
        <v>30</v>
      </c>
      <c r="O351" s="26">
        <v>0</v>
      </c>
      <c r="P351" s="26">
        <v>0</v>
      </c>
      <c r="Q351" s="26">
        <v>5</v>
      </c>
      <c r="R351" s="26">
        <v>5</v>
      </c>
      <c r="S351" s="26">
        <v>10</v>
      </c>
      <c r="T351" s="26">
        <v>10</v>
      </c>
      <c r="U351" s="26">
        <v>660</v>
      </c>
      <c r="V351" s="26">
        <v>1</v>
      </c>
      <c r="W351" s="26">
        <v>11</v>
      </c>
      <c r="X351" s="26">
        <v>14</v>
      </c>
      <c r="Y351" s="26">
        <v>75</v>
      </c>
      <c r="Z351" s="26">
        <v>300</v>
      </c>
      <c r="AA351" s="26">
        <v>50</v>
      </c>
    </row>
    <row r="352" spans="1:27" s="26" customFormat="1">
      <c r="A352" s="26" t="str">
        <f t="shared" si="104"/>
        <v>PhyType.NewNpcType_2006</v>
      </c>
      <c r="B352" s="26" t="s">
        <v>137</v>
      </c>
      <c r="C352" s="26">
        <v>2006</v>
      </c>
      <c r="D352" s="27">
        <v>2006</v>
      </c>
      <c r="E352" s="27"/>
      <c r="F352" s="27"/>
      <c r="G352" s="28" t="s">
        <v>218</v>
      </c>
      <c r="H352" s="28" t="s">
        <v>190</v>
      </c>
      <c r="I352" s="29">
        <v>879</v>
      </c>
      <c r="J352" s="28"/>
      <c r="K352" s="26">
        <v>21</v>
      </c>
      <c r="L352" s="26">
        <v>35</v>
      </c>
      <c r="M352" s="26">
        <f t="shared" si="88"/>
        <v>21</v>
      </c>
      <c r="N352" s="26">
        <f t="shared" si="89"/>
        <v>35</v>
      </c>
      <c r="O352" s="26">
        <v>0</v>
      </c>
      <c r="P352" s="26">
        <v>0</v>
      </c>
      <c r="Q352" s="26">
        <v>6</v>
      </c>
      <c r="R352" s="26">
        <v>6</v>
      </c>
      <c r="S352" s="26">
        <v>12</v>
      </c>
      <c r="T352" s="26">
        <v>12</v>
      </c>
      <c r="U352" s="26">
        <v>780</v>
      </c>
      <c r="V352" s="26">
        <v>1</v>
      </c>
      <c r="W352" s="26">
        <v>12</v>
      </c>
      <c r="X352" s="26">
        <v>15</v>
      </c>
      <c r="Y352" s="26">
        <v>75</v>
      </c>
      <c r="Z352" s="26">
        <v>300</v>
      </c>
      <c r="AA352" s="26">
        <v>50</v>
      </c>
    </row>
    <row r="353" spans="1:27" s="26" customFormat="1">
      <c r="A353" s="26" t="str">
        <f t="shared" si="104"/>
        <v>PhyType.NewNpcType_2007</v>
      </c>
      <c r="B353" s="26" t="s">
        <v>137</v>
      </c>
      <c r="C353" s="26">
        <v>2007</v>
      </c>
      <c r="D353" s="27">
        <v>2007</v>
      </c>
      <c r="E353" s="27"/>
      <c r="F353" s="27"/>
      <c r="G353" s="28" t="s">
        <v>219</v>
      </c>
      <c r="H353" s="28" t="s">
        <v>190</v>
      </c>
      <c r="I353" s="29">
        <v>1119</v>
      </c>
      <c r="J353" s="28"/>
      <c r="K353" s="26">
        <v>25</v>
      </c>
      <c r="L353" s="26">
        <v>41</v>
      </c>
      <c r="M353" s="26">
        <f t="shared" si="88"/>
        <v>25</v>
      </c>
      <c r="N353" s="26">
        <f t="shared" si="89"/>
        <v>41</v>
      </c>
      <c r="O353" s="26">
        <v>0</v>
      </c>
      <c r="P353" s="26">
        <v>0</v>
      </c>
      <c r="Q353" s="26">
        <v>7</v>
      </c>
      <c r="R353" s="26">
        <v>7</v>
      </c>
      <c r="S353" s="26">
        <v>14</v>
      </c>
      <c r="T353" s="26">
        <v>14</v>
      </c>
      <c r="U353" s="26">
        <v>920</v>
      </c>
      <c r="V353" s="26">
        <v>1</v>
      </c>
      <c r="W353" s="26">
        <v>13</v>
      </c>
      <c r="X353" s="26">
        <v>16</v>
      </c>
      <c r="Y353" s="26">
        <v>75</v>
      </c>
      <c r="Z353" s="26">
        <v>300</v>
      </c>
      <c r="AA353" s="26">
        <v>50</v>
      </c>
    </row>
    <row r="354" spans="1:27" s="26" customFormat="1">
      <c r="A354" s="26" t="str">
        <f t="shared" si="104"/>
        <v>PhyType.NewNpcType_2008</v>
      </c>
      <c r="B354" s="26" t="s">
        <v>137</v>
      </c>
      <c r="C354" s="26">
        <v>2008</v>
      </c>
      <c r="D354" s="27">
        <v>2008</v>
      </c>
      <c r="E354" s="27"/>
      <c r="F354" s="27"/>
      <c r="G354" s="28" t="s">
        <v>220</v>
      </c>
      <c r="H354" s="28" t="s">
        <v>190</v>
      </c>
      <c r="I354" s="29">
        <v>1399</v>
      </c>
      <c r="J354" s="28"/>
      <c r="K354" s="26">
        <v>29</v>
      </c>
      <c r="L354" s="26">
        <v>47</v>
      </c>
      <c r="M354" s="26">
        <f t="shared" si="88"/>
        <v>29</v>
      </c>
      <c r="N354" s="26">
        <f t="shared" si="89"/>
        <v>47</v>
      </c>
      <c r="O354" s="26">
        <v>0</v>
      </c>
      <c r="P354" s="26">
        <v>0</v>
      </c>
      <c r="Q354" s="26">
        <v>8</v>
      </c>
      <c r="R354" s="26">
        <v>8</v>
      </c>
      <c r="S354" s="26">
        <v>16</v>
      </c>
      <c r="T354" s="26">
        <v>16</v>
      </c>
      <c r="U354" s="26">
        <v>1100</v>
      </c>
      <c r="V354" s="26">
        <v>1</v>
      </c>
      <c r="W354" s="26">
        <v>14</v>
      </c>
      <c r="X354" s="26">
        <v>17</v>
      </c>
      <c r="Y354" s="26">
        <v>75</v>
      </c>
      <c r="Z354" s="26">
        <v>300</v>
      </c>
      <c r="AA354" s="26">
        <v>50</v>
      </c>
    </row>
    <row r="355" spans="1:27" s="26" customFormat="1">
      <c r="A355" s="26" t="str">
        <f t="shared" ref="A355:A374" si="105">"PhyType.NewNpcType_"&amp;D355</f>
        <v>PhyType.NewNpcType_2009</v>
      </c>
      <c r="B355" s="26" t="s">
        <v>137</v>
      </c>
      <c r="C355" s="26">
        <v>2009</v>
      </c>
      <c r="D355" s="27">
        <v>2009</v>
      </c>
      <c r="E355" s="27"/>
      <c r="F355" s="27"/>
      <c r="G355" s="28" t="s">
        <v>221</v>
      </c>
      <c r="H355" s="28" t="s">
        <v>190</v>
      </c>
      <c r="I355" s="29">
        <v>1799</v>
      </c>
      <c r="J355" s="28"/>
      <c r="K355" s="26">
        <v>34</v>
      </c>
      <c r="L355" s="26">
        <v>54</v>
      </c>
      <c r="M355" s="26">
        <f t="shared" si="88"/>
        <v>34</v>
      </c>
      <c r="N355" s="26">
        <f t="shared" si="89"/>
        <v>54</v>
      </c>
      <c r="O355" s="26">
        <v>0</v>
      </c>
      <c r="P355" s="26">
        <v>0</v>
      </c>
      <c r="Q355" s="26">
        <v>9</v>
      </c>
      <c r="R355" s="26">
        <v>9</v>
      </c>
      <c r="S355" s="26">
        <v>18</v>
      </c>
      <c r="T355" s="26">
        <v>18</v>
      </c>
      <c r="U355" s="26">
        <v>1320</v>
      </c>
      <c r="V355" s="26">
        <v>1</v>
      </c>
      <c r="W355" s="26">
        <v>15</v>
      </c>
      <c r="X355" s="26">
        <v>18</v>
      </c>
      <c r="Y355" s="26">
        <v>75</v>
      </c>
      <c r="Z355" s="26">
        <v>300</v>
      </c>
      <c r="AA355" s="26">
        <v>50</v>
      </c>
    </row>
    <row r="356" spans="1:27" s="26" customFormat="1">
      <c r="A356" s="26" t="str">
        <f t="shared" si="105"/>
        <v>PhyType.NewNpcType_2021</v>
      </c>
      <c r="B356" s="26" t="s">
        <v>137</v>
      </c>
      <c r="C356" s="26">
        <v>2021</v>
      </c>
      <c r="D356" s="27">
        <v>2021</v>
      </c>
      <c r="E356" s="27"/>
      <c r="F356" s="27"/>
      <c r="G356" s="28" t="s">
        <v>222</v>
      </c>
      <c r="H356" s="28" t="s">
        <v>190</v>
      </c>
      <c r="I356" s="29">
        <v>239</v>
      </c>
      <c r="J356" s="28"/>
      <c r="K356" s="26">
        <f>INT(K347*1.3)</f>
        <v>10</v>
      </c>
      <c r="L356" s="26">
        <f>INT(L347*1.3)</f>
        <v>15</v>
      </c>
      <c r="M356" s="26">
        <f t="shared" si="88"/>
        <v>10</v>
      </c>
      <c r="N356" s="26">
        <f t="shared" si="89"/>
        <v>15</v>
      </c>
      <c r="O356" s="26">
        <v>0</v>
      </c>
      <c r="P356" s="26">
        <v>0</v>
      </c>
      <c r="Q356" s="26">
        <v>1</v>
      </c>
      <c r="R356" s="26">
        <v>1</v>
      </c>
      <c r="S356" s="26">
        <v>2</v>
      </c>
      <c r="T356" s="26">
        <v>2</v>
      </c>
      <c r="U356" s="26">
        <v>220</v>
      </c>
      <c r="V356" s="26">
        <v>1</v>
      </c>
      <c r="W356" s="26">
        <v>7</v>
      </c>
      <c r="X356" s="26">
        <v>10</v>
      </c>
      <c r="Y356" s="26">
        <v>75</v>
      </c>
      <c r="Z356" s="26">
        <v>300</v>
      </c>
      <c r="AA356" s="26">
        <v>50</v>
      </c>
    </row>
    <row r="357" spans="1:27" s="26" customFormat="1">
      <c r="A357" s="26" t="str">
        <f t="shared" si="105"/>
        <v>PhyType.NewNpcType_2022</v>
      </c>
      <c r="B357" s="26" t="s">
        <v>137</v>
      </c>
      <c r="C357" s="26">
        <v>2022</v>
      </c>
      <c r="D357" s="27">
        <v>2022</v>
      </c>
      <c r="E357" s="27"/>
      <c r="F357" s="27"/>
      <c r="G357" s="28" t="s">
        <v>223</v>
      </c>
      <c r="H357" s="28" t="s">
        <v>190</v>
      </c>
      <c r="I357" s="29">
        <v>319</v>
      </c>
      <c r="J357" s="28"/>
      <c r="K357" s="26">
        <f t="shared" ref="K357:L364" si="106">INT(K348*1.3)</f>
        <v>13</v>
      </c>
      <c r="L357" s="26">
        <f t="shared" si="106"/>
        <v>20</v>
      </c>
      <c r="M357" s="26">
        <f t="shared" si="88"/>
        <v>13</v>
      </c>
      <c r="N357" s="26">
        <f t="shared" si="89"/>
        <v>20</v>
      </c>
      <c r="O357" s="26">
        <v>0</v>
      </c>
      <c r="P357" s="26">
        <v>0</v>
      </c>
      <c r="Q357" s="26">
        <v>2</v>
      </c>
      <c r="R357" s="26">
        <v>2</v>
      </c>
      <c r="S357" s="26">
        <v>4</v>
      </c>
      <c r="T357" s="26">
        <v>4</v>
      </c>
      <c r="U357" s="26">
        <v>280</v>
      </c>
      <c r="V357" s="26">
        <v>1</v>
      </c>
      <c r="W357" s="26">
        <v>8</v>
      </c>
      <c r="X357" s="26">
        <v>11</v>
      </c>
      <c r="Y357" s="26">
        <v>75</v>
      </c>
      <c r="Z357" s="26">
        <v>300</v>
      </c>
      <c r="AA357" s="26">
        <v>50</v>
      </c>
    </row>
    <row r="358" spans="1:27" s="26" customFormat="1">
      <c r="A358" s="26" t="str">
        <f t="shared" si="105"/>
        <v>PhyType.NewNpcType_2023</v>
      </c>
      <c r="B358" s="26" t="s">
        <v>137</v>
      </c>
      <c r="C358" s="26">
        <v>2023</v>
      </c>
      <c r="D358" s="27">
        <v>2023</v>
      </c>
      <c r="E358" s="27"/>
      <c r="F358" s="27"/>
      <c r="G358" s="28" t="s">
        <v>224</v>
      </c>
      <c r="H358" s="28" t="s">
        <v>190</v>
      </c>
      <c r="I358" s="29">
        <v>419</v>
      </c>
      <c r="J358" s="28"/>
      <c r="K358" s="26">
        <f t="shared" si="106"/>
        <v>15</v>
      </c>
      <c r="L358" s="26">
        <f t="shared" si="106"/>
        <v>26</v>
      </c>
      <c r="M358" s="26">
        <f t="shared" si="88"/>
        <v>15</v>
      </c>
      <c r="N358" s="26">
        <f t="shared" si="89"/>
        <v>26</v>
      </c>
      <c r="O358" s="26">
        <v>0</v>
      </c>
      <c r="P358" s="26">
        <v>0</v>
      </c>
      <c r="Q358" s="26">
        <v>3</v>
      </c>
      <c r="R358" s="26">
        <v>3</v>
      </c>
      <c r="S358" s="26">
        <v>6</v>
      </c>
      <c r="T358" s="26">
        <v>6</v>
      </c>
      <c r="U358" s="26">
        <v>360</v>
      </c>
      <c r="V358" s="26">
        <v>1</v>
      </c>
      <c r="W358" s="26">
        <v>9</v>
      </c>
      <c r="X358" s="26">
        <v>12</v>
      </c>
      <c r="Y358" s="26">
        <v>75</v>
      </c>
      <c r="Z358" s="26">
        <v>300</v>
      </c>
      <c r="AA358" s="26">
        <v>50</v>
      </c>
    </row>
    <row r="359" spans="1:27" s="26" customFormat="1">
      <c r="A359" s="26" t="str">
        <f t="shared" si="105"/>
        <v>PhyType.NewNpcType_2024</v>
      </c>
      <c r="B359" s="26" t="s">
        <v>137</v>
      </c>
      <c r="C359" s="26">
        <v>2024</v>
      </c>
      <c r="D359" s="27">
        <v>2024</v>
      </c>
      <c r="E359" s="27"/>
      <c r="F359" s="27"/>
      <c r="G359" s="28" t="s">
        <v>225</v>
      </c>
      <c r="H359" s="28" t="s">
        <v>190</v>
      </c>
      <c r="I359" s="29">
        <v>539</v>
      </c>
      <c r="J359" s="28"/>
      <c r="K359" s="26">
        <f t="shared" si="106"/>
        <v>19</v>
      </c>
      <c r="L359" s="26">
        <f t="shared" si="106"/>
        <v>32</v>
      </c>
      <c r="M359" s="26">
        <f t="shared" si="88"/>
        <v>19</v>
      </c>
      <c r="N359" s="26">
        <f t="shared" si="89"/>
        <v>32</v>
      </c>
      <c r="O359" s="26">
        <v>0</v>
      </c>
      <c r="P359" s="26">
        <v>0</v>
      </c>
      <c r="Q359" s="26">
        <v>4</v>
      </c>
      <c r="R359" s="26">
        <v>4</v>
      </c>
      <c r="S359" s="26">
        <v>8</v>
      </c>
      <c r="T359" s="26">
        <v>8</v>
      </c>
      <c r="U359" s="26">
        <v>440</v>
      </c>
      <c r="V359" s="26">
        <v>1</v>
      </c>
      <c r="W359" s="26">
        <v>10</v>
      </c>
      <c r="X359" s="26">
        <v>13</v>
      </c>
      <c r="Y359" s="26">
        <v>75</v>
      </c>
      <c r="Z359" s="26">
        <v>300</v>
      </c>
      <c r="AA359" s="26">
        <v>50</v>
      </c>
    </row>
    <row r="360" spans="1:27" s="26" customFormat="1">
      <c r="A360" s="26" t="str">
        <f t="shared" si="105"/>
        <v>PhyType.NewNpcType_2025</v>
      </c>
      <c r="B360" s="26" t="s">
        <v>137</v>
      </c>
      <c r="C360" s="26">
        <v>2025</v>
      </c>
      <c r="D360" s="27">
        <v>2025</v>
      </c>
      <c r="E360" s="27"/>
      <c r="F360" s="27"/>
      <c r="G360" s="28" t="s">
        <v>226</v>
      </c>
      <c r="H360" s="28" t="s">
        <v>190</v>
      </c>
      <c r="I360" s="29">
        <v>679</v>
      </c>
      <c r="J360" s="28"/>
      <c r="K360" s="26">
        <f t="shared" si="106"/>
        <v>23</v>
      </c>
      <c r="L360" s="26">
        <f t="shared" si="106"/>
        <v>39</v>
      </c>
      <c r="M360" s="26">
        <f t="shared" si="88"/>
        <v>23</v>
      </c>
      <c r="N360" s="26">
        <f t="shared" si="89"/>
        <v>39</v>
      </c>
      <c r="O360" s="26">
        <v>0</v>
      </c>
      <c r="P360" s="26">
        <v>0</v>
      </c>
      <c r="Q360" s="26">
        <v>5</v>
      </c>
      <c r="R360" s="26">
        <v>5</v>
      </c>
      <c r="S360" s="26">
        <v>10</v>
      </c>
      <c r="T360" s="26">
        <v>10</v>
      </c>
      <c r="U360" s="26">
        <v>540</v>
      </c>
      <c r="V360" s="26">
        <v>1</v>
      </c>
      <c r="W360" s="26">
        <v>11</v>
      </c>
      <c r="X360" s="26">
        <v>14</v>
      </c>
      <c r="Y360" s="26">
        <v>75</v>
      </c>
      <c r="Z360" s="26">
        <v>300</v>
      </c>
      <c r="AA360" s="26">
        <v>50</v>
      </c>
    </row>
    <row r="361" spans="1:27" s="26" customFormat="1">
      <c r="A361" s="26" t="str">
        <f t="shared" si="105"/>
        <v>PhyType.NewNpcType_2026</v>
      </c>
      <c r="B361" s="26" t="s">
        <v>137</v>
      </c>
      <c r="C361" s="26">
        <v>2026</v>
      </c>
      <c r="D361" s="27">
        <v>2026</v>
      </c>
      <c r="E361" s="27"/>
      <c r="F361" s="27"/>
      <c r="G361" s="28" t="s">
        <v>227</v>
      </c>
      <c r="H361" s="28" t="s">
        <v>190</v>
      </c>
      <c r="I361" s="29">
        <v>879</v>
      </c>
      <c r="J361" s="28"/>
      <c r="K361" s="26">
        <f t="shared" si="106"/>
        <v>27</v>
      </c>
      <c r="L361" s="26">
        <f t="shared" si="106"/>
        <v>45</v>
      </c>
      <c r="M361" s="26">
        <f t="shared" si="88"/>
        <v>27</v>
      </c>
      <c r="N361" s="26">
        <f t="shared" si="89"/>
        <v>45</v>
      </c>
      <c r="O361" s="26">
        <v>0</v>
      </c>
      <c r="P361" s="26">
        <v>0</v>
      </c>
      <c r="Q361" s="26">
        <v>6</v>
      </c>
      <c r="R361" s="26">
        <v>6</v>
      </c>
      <c r="S361" s="26">
        <v>12</v>
      </c>
      <c r="T361" s="26">
        <v>12</v>
      </c>
      <c r="U361" s="26">
        <v>640</v>
      </c>
      <c r="V361" s="26">
        <v>1</v>
      </c>
      <c r="W361" s="26">
        <v>12</v>
      </c>
      <c r="X361" s="26">
        <v>15</v>
      </c>
      <c r="Y361" s="26">
        <v>75</v>
      </c>
      <c r="Z361" s="26">
        <v>300</v>
      </c>
      <c r="AA361" s="26">
        <v>50</v>
      </c>
    </row>
    <row r="362" spans="1:27" s="26" customFormat="1">
      <c r="A362" s="26" t="str">
        <f t="shared" si="105"/>
        <v>PhyType.NewNpcType_2027</v>
      </c>
      <c r="B362" s="26" t="s">
        <v>137</v>
      </c>
      <c r="C362" s="26">
        <v>2027</v>
      </c>
      <c r="D362" s="27">
        <v>2027</v>
      </c>
      <c r="E362" s="27"/>
      <c r="F362" s="27"/>
      <c r="G362" s="28" t="s">
        <v>228</v>
      </c>
      <c r="H362" s="28" t="s">
        <v>190</v>
      </c>
      <c r="I362" s="29">
        <v>1119</v>
      </c>
      <c r="J362" s="28"/>
      <c r="K362" s="26">
        <f t="shared" si="106"/>
        <v>32</v>
      </c>
      <c r="L362" s="26">
        <f t="shared" si="106"/>
        <v>53</v>
      </c>
      <c r="M362" s="26">
        <f t="shared" si="88"/>
        <v>32</v>
      </c>
      <c r="N362" s="26">
        <f t="shared" si="89"/>
        <v>53</v>
      </c>
      <c r="O362" s="26">
        <v>0</v>
      </c>
      <c r="P362" s="26">
        <v>0</v>
      </c>
      <c r="Q362" s="26">
        <v>7</v>
      </c>
      <c r="R362" s="26">
        <v>7</v>
      </c>
      <c r="S362" s="26">
        <v>14</v>
      </c>
      <c r="T362" s="26">
        <v>14</v>
      </c>
      <c r="U362" s="26">
        <v>740</v>
      </c>
      <c r="V362" s="26">
        <v>1</v>
      </c>
      <c r="W362" s="26">
        <v>13</v>
      </c>
      <c r="X362" s="26">
        <v>16</v>
      </c>
      <c r="Y362" s="26">
        <v>75</v>
      </c>
      <c r="Z362" s="26">
        <v>300</v>
      </c>
      <c r="AA362" s="26">
        <v>50</v>
      </c>
    </row>
    <row r="363" spans="1:27" s="26" customFormat="1">
      <c r="A363" s="26" t="str">
        <f t="shared" si="105"/>
        <v>PhyType.NewNpcType_2028</v>
      </c>
      <c r="B363" s="26" t="s">
        <v>137</v>
      </c>
      <c r="C363" s="26">
        <v>2028</v>
      </c>
      <c r="D363" s="27">
        <v>2028</v>
      </c>
      <c r="E363" s="27"/>
      <c r="F363" s="27"/>
      <c r="G363" s="28" t="s">
        <v>229</v>
      </c>
      <c r="H363" s="28" t="s">
        <v>190</v>
      </c>
      <c r="I363" s="29">
        <v>1399</v>
      </c>
      <c r="J363" s="28"/>
      <c r="K363" s="26">
        <f t="shared" si="106"/>
        <v>37</v>
      </c>
      <c r="L363" s="26">
        <f t="shared" si="106"/>
        <v>61</v>
      </c>
      <c r="M363" s="26">
        <f t="shared" si="88"/>
        <v>37</v>
      </c>
      <c r="N363" s="26">
        <f t="shared" si="89"/>
        <v>61</v>
      </c>
      <c r="O363" s="26">
        <v>0</v>
      </c>
      <c r="P363" s="26">
        <v>0</v>
      </c>
      <c r="Q363" s="26">
        <v>8</v>
      </c>
      <c r="R363" s="26">
        <v>8</v>
      </c>
      <c r="S363" s="26">
        <v>16</v>
      </c>
      <c r="T363" s="26">
        <v>16</v>
      </c>
      <c r="U363" s="26">
        <v>880</v>
      </c>
      <c r="V363" s="26">
        <v>1</v>
      </c>
      <c r="W363" s="26">
        <v>14</v>
      </c>
      <c r="X363" s="26">
        <v>17</v>
      </c>
      <c r="Y363" s="26">
        <v>75</v>
      </c>
      <c r="Z363" s="26">
        <v>300</v>
      </c>
      <c r="AA363" s="26">
        <v>50</v>
      </c>
    </row>
    <row r="364" spans="1:27" s="26" customFormat="1">
      <c r="A364" s="26" t="str">
        <f t="shared" ref="A364" si="107">"PhyType.NewNpcType_"&amp;D364</f>
        <v>PhyType.NewNpcType_2029</v>
      </c>
      <c r="B364" s="26" t="s">
        <v>137</v>
      </c>
      <c r="C364" s="26">
        <v>2029</v>
      </c>
      <c r="D364" s="27">
        <v>2029</v>
      </c>
      <c r="E364" s="27"/>
      <c r="F364" s="27"/>
      <c r="G364" s="28" t="s">
        <v>230</v>
      </c>
      <c r="H364" s="28" t="s">
        <v>190</v>
      </c>
      <c r="I364" s="29">
        <v>1799</v>
      </c>
      <c r="J364" s="28"/>
      <c r="K364" s="26">
        <f t="shared" si="106"/>
        <v>44</v>
      </c>
      <c r="L364" s="26">
        <f t="shared" si="106"/>
        <v>70</v>
      </c>
      <c r="M364" s="26">
        <f t="shared" si="88"/>
        <v>44</v>
      </c>
      <c r="N364" s="26">
        <f t="shared" si="89"/>
        <v>70</v>
      </c>
      <c r="O364" s="26">
        <v>0</v>
      </c>
      <c r="P364" s="26">
        <v>0</v>
      </c>
      <c r="Q364" s="26">
        <v>9</v>
      </c>
      <c r="R364" s="26">
        <v>9</v>
      </c>
      <c r="S364" s="26">
        <v>18</v>
      </c>
      <c r="T364" s="26">
        <v>18</v>
      </c>
      <c r="U364" s="26">
        <v>1060</v>
      </c>
      <c r="V364" s="26">
        <v>1</v>
      </c>
      <c r="W364" s="26">
        <v>15</v>
      </c>
      <c r="X364" s="26">
        <v>18</v>
      </c>
      <c r="Y364" s="26">
        <v>75</v>
      </c>
      <c r="Z364" s="26">
        <v>300</v>
      </c>
      <c r="AA364" s="26">
        <v>50</v>
      </c>
    </row>
    <row r="365" spans="1:27" s="26" customFormat="1">
      <c r="A365" s="26" t="str">
        <f t="shared" si="105"/>
        <v>PhyType.NewNpcType_2101</v>
      </c>
      <c r="B365" s="26" t="s">
        <v>137</v>
      </c>
      <c r="C365" s="26">
        <v>2101</v>
      </c>
      <c r="D365" s="27">
        <v>2101</v>
      </c>
      <c r="E365" s="27"/>
      <c r="F365" s="27"/>
      <c r="G365" s="28" t="s">
        <v>181</v>
      </c>
      <c r="H365" s="28" t="s">
        <v>190</v>
      </c>
      <c r="I365" s="29">
        <v>1679</v>
      </c>
      <c r="J365" s="28"/>
      <c r="K365" s="26">
        <f>K347*2</f>
        <v>16</v>
      </c>
      <c r="L365" s="26">
        <f>L347*2</f>
        <v>24</v>
      </c>
      <c r="M365" s="26">
        <f t="shared" si="88"/>
        <v>16</v>
      </c>
      <c r="N365" s="26">
        <f t="shared" si="89"/>
        <v>24</v>
      </c>
      <c r="O365" s="26">
        <v>0</v>
      </c>
      <c r="P365" s="26">
        <v>0</v>
      </c>
      <c r="Q365" s="26">
        <v>2</v>
      </c>
      <c r="R365" s="26">
        <v>2</v>
      </c>
      <c r="S365" s="26">
        <v>3</v>
      </c>
      <c r="T365" s="26">
        <v>3</v>
      </c>
      <c r="U365" s="26">
        <v>720</v>
      </c>
      <c r="V365" s="26">
        <v>1</v>
      </c>
      <c r="W365" s="26">
        <v>10</v>
      </c>
      <c r="X365" s="26">
        <v>13</v>
      </c>
      <c r="Y365" s="26">
        <v>75</v>
      </c>
      <c r="Z365" s="26">
        <v>300</v>
      </c>
      <c r="AA365" s="26">
        <v>50</v>
      </c>
    </row>
    <row r="366" spans="1:27" s="26" customFormat="1">
      <c r="A366" s="26" t="str">
        <f t="shared" si="105"/>
        <v>PhyType.NewNpcType_2102</v>
      </c>
      <c r="B366" s="26" t="s">
        <v>137</v>
      </c>
      <c r="C366" s="26">
        <v>2102</v>
      </c>
      <c r="D366" s="27">
        <v>2102</v>
      </c>
      <c r="E366" s="27"/>
      <c r="F366" s="27"/>
      <c r="G366" s="28" t="s">
        <v>182</v>
      </c>
      <c r="H366" s="28" t="s">
        <v>190</v>
      </c>
      <c r="I366" s="29">
        <v>2239</v>
      </c>
      <c r="J366" s="28"/>
      <c r="K366" s="26">
        <f t="shared" ref="K366:L366" si="108">K348*2</f>
        <v>20</v>
      </c>
      <c r="L366" s="26">
        <f t="shared" si="108"/>
        <v>32</v>
      </c>
      <c r="M366" s="26">
        <f t="shared" si="88"/>
        <v>20</v>
      </c>
      <c r="N366" s="26">
        <f t="shared" si="89"/>
        <v>32</v>
      </c>
      <c r="O366" s="26">
        <v>0</v>
      </c>
      <c r="P366" s="26">
        <v>0</v>
      </c>
      <c r="Q366" s="26">
        <v>4</v>
      </c>
      <c r="R366" s="26">
        <v>4</v>
      </c>
      <c r="S366" s="26">
        <v>6</v>
      </c>
      <c r="T366" s="26">
        <v>6</v>
      </c>
      <c r="U366" s="26">
        <v>960</v>
      </c>
      <c r="V366" s="26">
        <v>1</v>
      </c>
      <c r="W366" s="26">
        <v>11</v>
      </c>
      <c r="X366" s="26">
        <v>14</v>
      </c>
      <c r="Y366" s="26">
        <v>75</v>
      </c>
      <c r="Z366" s="26">
        <v>300</v>
      </c>
      <c r="AA366" s="26">
        <v>50</v>
      </c>
    </row>
    <row r="367" spans="1:27" s="26" customFormat="1">
      <c r="A367" s="26" t="str">
        <f t="shared" si="105"/>
        <v>PhyType.NewNpcType_2103</v>
      </c>
      <c r="B367" s="26" t="s">
        <v>137</v>
      </c>
      <c r="C367" s="26">
        <v>2103</v>
      </c>
      <c r="D367" s="27">
        <v>2103</v>
      </c>
      <c r="E367" s="27"/>
      <c r="F367" s="27"/>
      <c r="G367" s="28" t="s">
        <v>183</v>
      </c>
      <c r="H367" s="28" t="s">
        <v>190</v>
      </c>
      <c r="I367" s="29">
        <v>2939</v>
      </c>
      <c r="J367" s="28"/>
      <c r="K367" s="26">
        <f t="shared" ref="K367:L367" si="109">K349*2</f>
        <v>24</v>
      </c>
      <c r="L367" s="26">
        <f t="shared" si="109"/>
        <v>40</v>
      </c>
      <c r="M367" s="26">
        <f t="shared" si="88"/>
        <v>24</v>
      </c>
      <c r="N367" s="26">
        <f t="shared" si="89"/>
        <v>40</v>
      </c>
      <c r="O367" s="26">
        <v>0</v>
      </c>
      <c r="P367" s="26">
        <v>0</v>
      </c>
      <c r="Q367" s="26">
        <v>6</v>
      </c>
      <c r="R367" s="26">
        <v>6</v>
      </c>
      <c r="S367" s="26">
        <v>9</v>
      </c>
      <c r="T367" s="26">
        <v>9</v>
      </c>
      <c r="U367" s="26">
        <v>1200</v>
      </c>
      <c r="V367" s="26">
        <v>1</v>
      </c>
      <c r="W367" s="26">
        <v>12</v>
      </c>
      <c r="X367" s="26">
        <v>15</v>
      </c>
      <c r="Y367" s="26">
        <v>75</v>
      </c>
      <c r="Z367" s="26">
        <v>300</v>
      </c>
      <c r="AA367" s="26">
        <v>50</v>
      </c>
    </row>
    <row r="368" spans="1:27" s="26" customFormat="1">
      <c r="A368" s="26" t="str">
        <f t="shared" si="105"/>
        <v>PhyType.NewNpcType_2104</v>
      </c>
      <c r="B368" s="26" t="s">
        <v>137</v>
      </c>
      <c r="C368" s="26">
        <v>2104</v>
      </c>
      <c r="D368" s="27">
        <v>2104</v>
      </c>
      <c r="E368" s="27"/>
      <c r="F368" s="27"/>
      <c r="G368" s="28" t="s">
        <v>184</v>
      </c>
      <c r="H368" s="28" t="s">
        <v>190</v>
      </c>
      <c r="I368" s="29">
        <v>3779</v>
      </c>
      <c r="J368" s="28"/>
      <c r="K368" s="26">
        <f t="shared" ref="K368:L368" si="110">K350*2</f>
        <v>30</v>
      </c>
      <c r="L368" s="26">
        <f t="shared" si="110"/>
        <v>50</v>
      </c>
      <c r="M368" s="26">
        <f t="shared" si="88"/>
        <v>30</v>
      </c>
      <c r="N368" s="26">
        <f t="shared" si="89"/>
        <v>50</v>
      </c>
      <c r="O368" s="26">
        <v>0</v>
      </c>
      <c r="P368" s="26">
        <v>0</v>
      </c>
      <c r="Q368" s="26">
        <v>8</v>
      </c>
      <c r="R368" s="26">
        <v>8</v>
      </c>
      <c r="S368" s="26">
        <v>12</v>
      </c>
      <c r="T368" s="26">
        <v>12</v>
      </c>
      <c r="U368" s="26">
        <v>1500</v>
      </c>
      <c r="V368" s="26">
        <v>1</v>
      </c>
      <c r="W368" s="26">
        <v>13</v>
      </c>
      <c r="X368" s="26">
        <v>16</v>
      </c>
      <c r="Y368" s="26">
        <v>75</v>
      </c>
      <c r="Z368" s="26">
        <v>300</v>
      </c>
      <c r="AA368" s="26">
        <v>50</v>
      </c>
    </row>
    <row r="369" spans="1:27" s="26" customFormat="1">
      <c r="A369" s="26" t="str">
        <f t="shared" si="105"/>
        <v>PhyType.NewNpcType_2105</v>
      </c>
      <c r="B369" s="26" t="s">
        <v>137</v>
      </c>
      <c r="C369" s="26">
        <v>2105</v>
      </c>
      <c r="D369" s="27">
        <v>2105</v>
      </c>
      <c r="E369" s="27"/>
      <c r="F369" s="27"/>
      <c r="G369" s="28" t="s">
        <v>185</v>
      </c>
      <c r="H369" s="28" t="s">
        <v>190</v>
      </c>
      <c r="I369" s="29">
        <v>4759</v>
      </c>
      <c r="J369" s="28"/>
      <c r="K369" s="26">
        <f t="shared" ref="K369:L369" si="111">K351*2</f>
        <v>36</v>
      </c>
      <c r="L369" s="26">
        <f t="shared" si="111"/>
        <v>60</v>
      </c>
      <c r="M369" s="26">
        <f t="shared" si="88"/>
        <v>36</v>
      </c>
      <c r="N369" s="26">
        <f t="shared" si="89"/>
        <v>60</v>
      </c>
      <c r="O369" s="26">
        <v>0</v>
      </c>
      <c r="P369" s="26">
        <v>0</v>
      </c>
      <c r="Q369" s="26">
        <v>10</v>
      </c>
      <c r="R369" s="26">
        <v>10</v>
      </c>
      <c r="S369" s="26">
        <v>15</v>
      </c>
      <c r="T369" s="26">
        <v>15</v>
      </c>
      <c r="U369" s="26">
        <v>1800</v>
      </c>
      <c r="V369" s="26">
        <v>1</v>
      </c>
      <c r="W369" s="26">
        <v>14</v>
      </c>
      <c r="X369" s="26">
        <v>17</v>
      </c>
      <c r="Y369" s="26">
        <v>75</v>
      </c>
      <c r="Z369" s="26">
        <v>300</v>
      </c>
      <c r="AA369" s="26">
        <v>50</v>
      </c>
    </row>
    <row r="370" spans="1:27" s="26" customFormat="1">
      <c r="A370" s="26" t="str">
        <f t="shared" si="105"/>
        <v>PhyType.NewNpcType_2106</v>
      </c>
      <c r="B370" s="26" t="s">
        <v>137</v>
      </c>
      <c r="C370" s="26">
        <v>2106</v>
      </c>
      <c r="D370" s="27">
        <v>2106</v>
      </c>
      <c r="E370" s="27"/>
      <c r="F370" s="27"/>
      <c r="G370" s="28" t="s">
        <v>186</v>
      </c>
      <c r="H370" s="28" t="s">
        <v>190</v>
      </c>
      <c r="I370" s="29">
        <v>6159</v>
      </c>
      <c r="J370" s="28"/>
      <c r="K370" s="26">
        <f t="shared" ref="K370:L370" si="112">K352*2</f>
        <v>42</v>
      </c>
      <c r="L370" s="26">
        <f t="shared" si="112"/>
        <v>70</v>
      </c>
      <c r="M370" s="26">
        <f t="shared" si="88"/>
        <v>42</v>
      </c>
      <c r="N370" s="26">
        <f t="shared" si="89"/>
        <v>70</v>
      </c>
      <c r="O370" s="26">
        <v>0</v>
      </c>
      <c r="P370" s="26">
        <v>0</v>
      </c>
      <c r="Q370" s="26">
        <v>12</v>
      </c>
      <c r="R370" s="26">
        <v>12</v>
      </c>
      <c r="S370" s="26">
        <v>18</v>
      </c>
      <c r="T370" s="26">
        <v>18</v>
      </c>
      <c r="U370" s="26">
        <v>2160</v>
      </c>
      <c r="V370" s="26">
        <v>1</v>
      </c>
      <c r="W370" s="26">
        <v>15</v>
      </c>
      <c r="X370" s="26">
        <v>18</v>
      </c>
      <c r="Y370" s="26">
        <v>75</v>
      </c>
      <c r="Z370" s="26">
        <v>300</v>
      </c>
      <c r="AA370" s="26">
        <v>50</v>
      </c>
    </row>
    <row r="371" spans="1:27" s="26" customFormat="1">
      <c r="A371" s="26" t="str">
        <f t="shared" si="105"/>
        <v>PhyType.NewNpcType_2107</v>
      </c>
      <c r="B371" s="26" t="s">
        <v>137</v>
      </c>
      <c r="C371" s="26">
        <v>2107</v>
      </c>
      <c r="D371" s="27">
        <v>2107</v>
      </c>
      <c r="E371" s="27"/>
      <c r="F371" s="27"/>
      <c r="G371" s="28" t="s">
        <v>187</v>
      </c>
      <c r="H371" s="28" t="s">
        <v>190</v>
      </c>
      <c r="I371" s="29">
        <v>7839</v>
      </c>
      <c r="J371" s="28"/>
      <c r="K371" s="26">
        <f t="shared" ref="K371:L371" si="113">K353*2</f>
        <v>50</v>
      </c>
      <c r="L371" s="26">
        <f t="shared" si="113"/>
        <v>82</v>
      </c>
      <c r="M371" s="26">
        <f t="shared" si="88"/>
        <v>50</v>
      </c>
      <c r="N371" s="26">
        <f t="shared" si="89"/>
        <v>82</v>
      </c>
      <c r="O371" s="26">
        <v>0</v>
      </c>
      <c r="P371" s="26">
        <v>0</v>
      </c>
      <c r="Q371" s="26">
        <v>14</v>
      </c>
      <c r="R371" s="26">
        <v>14</v>
      </c>
      <c r="S371" s="26">
        <v>21</v>
      </c>
      <c r="T371" s="26">
        <v>21</v>
      </c>
      <c r="U371" s="26">
        <v>2520</v>
      </c>
      <c r="V371" s="26">
        <v>1</v>
      </c>
      <c r="W371" s="26">
        <v>16</v>
      </c>
      <c r="X371" s="26">
        <v>19</v>
      </c>
      <c r="Y371" s="26">
        <v>75</v>
      </c>
      <c r="Z371" s="26">
        <v>300</v>
      </c>
      <c r="AA371" s="26">
        <v>50</v>
      </c>
    </row>
    <row r="372" spans="1:27" s="26" customFormat="1">
      <c r="A372" s="26" t="str">
        <f t="shared" si="105"/>
        <v>PhyType.NewNpcType_2108</v>
      </c>
      <c r="B372" s="26" t="s">
        <v>137</v>
      </c>
      <c r="C372" s="26">
        <v>2108</v>
      </c>
      <c r="D372" s="27">
        <v>2108</v>
      </c>
      <c r="E372" s="27"/>
      <c r="F372" s="27"/>
      <c r="G372" s="28" t="s">
        <v>188</v>
      </c>
      <c r="H372" s="28" t="s">
        <v>190</v>
      </c>
      <c r="I372" s="29">
        <v>9799</v>
      </c>
      <c r="J372" s="28"/>
      <c r="K372" s="26">
        <f t="shared" ref="K372:L372" si="114">K354*2</f>
        <v>58</v>
      </c>
      <c r="L372" s="26">
        <f t="shared" si="114"/>
        <v>94</v>
      </c>
      <c r="M372" s="26">
        <f t="shared" si="88"/>
        <v>58</v>
      </c>
      <c r="N372" s="26">
        <f t="shared" si="89"/>
        <v>94</v>
      </c>
      <c r="O372" s="26">
        <v>0</v>
      </c>
      <c r="P372" s="26">
        <v>0</v>
      </c>
      <c r="Q372" s="26">
        <v>16</v>
      </c>
      <c r="R372" s="26">
        <v>16</v>
      </c>
      <c r="S372" s="26">
        <v>24</v>
      </c>
      <c r="T372" s="26">
        <v>24</v>
      </c>
      <c r="U372" s="26">
        <v>3000</v>
      </c>
      <c r="V372" s="26">
        <v>1</v>
      </c>
      <c r="W372" s="26">
        <v>17</v>
      </c>
      <c r="X372" s="26">
        <v>20</v>
      </c>
      <c r="Y372" s="26">
        <v>75</v>
      </c>
      <c r="Z372" s="26">
        <v>300</v>
      </c>
      <c r="AA372" s="26">
        <v>50</v>
      </c>
    </row>
    <row r="373" spans="1:27" s="26" customFormat="1">
      <c r="A373" s="26" t="str">
        <f t="shared" si="105"/>
        <v>PhyType.NewNpcType_2109</v>
      </c>
      <c r="B373" s="26" t="s">
        <v>137</v>
      </c>
      <c r="C373" s="26">
        <v>2109</v>
      </c>
      <c r="D373" s="27">
        <v>2109</v>
      </c>
      <c r="E373" s="27"/>
      <c r="F373" s="27"/>
      <c r="G373" s="28" t="s">
        <v>189</v>
      </c>
      <c r="H373" s="28" t="s">
        <v>190</v>
      </c>
      <c r="I373" s="29">
        <v>12599</v>
      </c>
      <c r="J373" s="28"/>
      <c r="K373" s="26">
        <f t="shared" ref="K373:L373" si="115">K355*2</f>
        <v>68</v>
      </c>
      <c r="L373" s="26">
        <f t="shared" si="115"/>
        <v>108</v>
      </c>
      <c r="M373" s="26">
        <f t="shared" si="88"/>
        <v>68</v>
      </c>
      <c r="N373" s="26">
        <f t="shared" si="89"/>
        <v>108</v>
      </c>
      <c r="O373" s="26">
        <v>0</v>
      </c>
      <c r="P373" s="26">
        <v>0</v>
      </c>
      <c r="Q373" s="26">
        <v>18</v>
      </c>
      <c r="R373" s="26">
        <v>18</v>
      </c>
      <c r="S373" s="26">
        <v>27</v>
      </c>
      <c r="T373" s="26">
        <v>27</v>
      </c>
      <c r="U373" s="26">
        <v>3600</v>
      </c>
      <c r="V373" s="26">
        <v>1</v>
      </c>
      <c r="W373" s="26">
        <v>18</v>
      </c>
      <c r="X373" s="26">
        <v>21</v>
      </c>
      <c r="Y373" s="26">
        <v>75</v>
      </c>
      <c r="Z373" s="26">
        <v>300</v>
      </c>
      <c r="AA373" s="26">
        <v>50</v>
      </c>
    </row>
    <row r="374" spans="1:27" s="11" customFormat="1">
      <c r="A374" s="11" t="str">
        <f t="shared" si="105"/>
        <v>PhyType.NewNpcType_2501</v>
      </c>
      <c r="B374" s="11" t="s">
        <v>137</v>
      </c>
      <c r="C374" s="11">
        <v>2501</v>
      </c>
      <c r="D374" s="12">
        <v>2501</v>
      </c>
      <c r="E374" s="12"/>
      <c r="F374" s="12"/>
      <c r="G374" s="12" t="s">
        <v>321</v>
      </c>
      <c r="H374" s="13" t="s">
        <v>323</v>
      </c>
      <c r="I374" s="19">
        <f>U374*1.1-1</f>
        <v>659</v>
      </c>
      <c r="J374" s="13"/>
      <c r="K374" s="11">
        <v>45</v>
      </c>
      <c r="L374" s="11">
        <v>70</v>
      </c>
      <c r="M374" s="11">
        <f t="shared" si="88"/>
        <v>45</v>
      </c>
      <c r="N374" s="11">
        <f t="shared" si="89"/>
        <v>70</v>
      </c>
      <c r="O374" s="11">
        <v>0</v>
      </c>
      <c r="P374" s="11">
        <v>0</v>
      </c>
      <c r="Q374" s="11">
        <v>5</v>
      </c>
      <c r="R374" s="11">
        <v>5</v>
      </c>
      <c r="S374" s="11">
        <v>12</v>
      </c>
      <c r="T374" s="11">
        <v>12</v>
      </c>
      <c r="U374" s="11">
        <v>600</v>
      </c>
      <c r="V374" s="11">
        <v>1</v>
      </c>
      <c r="W374" s="11">
        <v>13</v>
      </c>
      <c r="X374" s="11">
        <v>17</v>
      </c>
      <c r="Y374" s="11">
        <v>75</v>
      </c>
      <c r="Z374" s="11">
        <v>300</v>
      </c>
      <c r="AA374" s="11">
        <v>50</v>
      </c>
    </row>
    <row r="375" spans="1:27" s="11" customFormat="1">
      <c r="A375" s="11" t="str">
        <f t="shared" ref="A375:A384" si="116">"PhyType.NewNpcType_"&amp;D375</f>
        <v>PhyType.NewNpcType_2502</v>
      </c>
      <c r="B375" s="11" t="s">
        <v>137</v>
      </c>
      <c r="C375" s="11">
        <v>2502</v>
      </c>
      <c r="D375" s="12">
        <v>2502</v>
      </c>
      <c r="E375" s="12"/>
      <c r="F375" s="12"/>
      <c r="G375" s="12" t="s">
        <v>191</v>
      </c>
      <c r="H375" s="13" t="s">
        <v>250</v>
      </c>
      <c r="I375" s="19">
        <f t="shared" ref="I375:I392" si="117">U375*1.1-1</f>
        <v>1209</v>
      </c>
      <c r="J375" s="13"/>
      <c r="K375" s="11">
        <v>30</v>
      </c>
      <c r="L375" s="11">
        <v>45</v>
      </c>
      <c r="M375" s="11">
        <f t="shared" si="88"/>
        <v>30</v>
      </c>
      <c r="N375" s="11">
        <f t="shared" si="89"/>
        <v>45</v>
      </c>
      <c r="O375" s="11">
        <v>0</v>
      </c>
      <c r="P375" s="11">
        <v>0</v>
      </c>
      <c r="Q375" s="11">
        <v>5</v>
      </c>
      <c r="R375" s="11">
        <v>5</v>
      </c>
      <c r="S375" s="11">
        <v>12</v>
      </c>
      <c r="T375" s="11">
        <v>12</v>
      </c>
      <c r="U375" s="11">
        <v>1100</v>
      </c>
      <c r="V375" s="11">
        <v>1</v>
      </c>
      <c r="W375" s="11">
        <v>13</v>
      </c>
      <c r="X375" s="11">
        <v>15</v>
      </c>
      <c r="Y375" s="11">
        <v>75</v>
      </c>
      <c r="Z375" s="11">
        <v>300</v>
      </c>
      <c r="AA375" s="11">
        <v>50</v>
      </c>
    </row>
    <row r="376" spans="1:27" s="34" customFormat="1">
      <c r="A376" s="34" t="str">
        <f t="shared" si="116"/>
        <v>PhyType.NewNpcType_2503</v>
      </c>
      <c r="B376" s="34" t="s">
        <v>137</v>
      </c>
      <c r="C376" s="34">
        <v>2503</v>
      </c>
      <c r="D376" s="35">
        <v>2503</v>
      </c>
      <c r="E376" s="35"/>
      <c r="F376" s="35"/>
      <c r="G376" s="35" t="s">
        <v>192</v>
      </c>
      <c r="H376" s="36" t="s">
        <v>250</v>
      </c>
      <c r="I376" s="37">
        <f t="shared" si="117"/>
        <v>2639</v>
      </c>
      <c r="J376" s="36"/>
      <c r="K376" s="34">
        <v>55</v>
      </c>
      <c r="L376" s="34">
        <v>80</v>
      </c>
      <c r="M376" s="34">
        <f t="shared" si="88"/>
        <v>55</v>
      </c>
      <c r="N376" s="34">
        <f t="shared" si="89"/>
        <v>80</v>
      </c>
      <c r="O376" s="34">
        <v>0</v>
      </c>
      <c r="P376" s="34">
        <v>0</v>
      </c>
      <c r="Q376" s="34">
        <v>10</v>
      </c>
      <c r="R376" s="34">
        <v>10</v>
      </c>
      <c r="S376" s="34">
        <v>17</v>
      </c>
      <c r="T376" s="34">
        <v>17</v>
      </c>
      <c r="U376" s="34">
        <v>2400</v>
      </c>
      <c r="V376" s="34">
        <v>1</v>
      </c>
      <c r="W376" s="34">
        <v>15</v>
      </c>
      <c r="X376" s="34">
        <v>17</v>
      </c>
      <c r="Y376" s="34">
        <v>75</v>
      </c>
      <c r="Z376" s="34">
        <v>300</v>
      </c>
      <c r="AA376" s="34">
        <v>50</v>
      </c>
    </row>
    <row r="377" spans="1:27" s="11" customFormat="1">
      <c r="A377" s="11" t="str">
        <f t="shared" si="116"/>
        <v>PhyType.NewNpcType_2504</v>
      </c>
      <c r="B377" s="11" t="s">
        <v>137</v>
      </c>
      <c r="C377" s="11">
        <v>2504</v>
      </c>
      <c r="D377" s="12">
        <v>2504</v>
      </c>
      <c r="E377" s="12"/>
      <c r="F377" s="12"/>
      <c r="G377" s="12" t="s">
        <v>193</v>
      </c>
      <c r="H377" s="13" t="s">
        <v>251</v>
      </c>
      <c r="I377" s="19">
        <f t="shared" si="117"/>
        <v>1429.0000000000002</v>
      </c>
      <c r="J377" s="13"/>
      <c r="K377" s="11">
        <v>50</v>
      </c>
      <c r="L377" s="11">
        <v>70</v>
      </c>
      <c r="M377" s="11">
        <f t="shared" si="88"/>
        <v>50</v>
      </c>
      <c r="N377" s="11">
        <f t="shared" si="89"/>
        <v>70</v>
      </c>
      <c r="O377" s="11">
        <v>0</v>
      </c>
      <c r="P377" s="11">
        <v>0</v>
      </c>
      <c r="Q377" s="11">
        <v>8</v>
      </c>
      <c r="R377" s="11">
        <v>8</v>
      </c>
      <c r="S377" s="11">
        <v>20</v>
      </c>
      <c r="T377" s="11">
        <v>20</v>
      </c>
      <c r="U377" s="11">
        <v>1300</v>
      </c>
      <c r="V377" s="11">
        <v>1</v>
      </c>
      <c r="W377" s="11">
        <v>15</v>
      </c>
      <c r="X377" s="11">
        <v>17</v>
      </c>
      <c r="Y377" s="11">
        <v>75</v>
      </c>
      <c r="Z377" s="11">
        <v>300</v>
      </c>
      <c r="AA377" s="11">
        <v>50</v>
      </c>
    </row>
    <row r="378" spans="1:27" s="11" customFormat="1">
      <c r="A378" s="11" t="str">
        <f t="shared" si="116"/>
        <v>PhyType.NewNpcType_2505</v>
      </c>
      <c r="B378" s="11" t="s">
        <v>137</v>
      </c>
      <c r="C378" s="11">
        <v>2505</v>
      </c>
      <c r="D378" s="12">
        <v>2505</v>
      </c>
      <c r="E378" s="12"/>
      <c r="F378" s="12"/>
      <c r="G378" s="12" t="s">
        <v>194</v>
      </c>
      <c r="H378" s="13" t="s">
        <v>251</v>
      </c>
      <c r="I378" s="19">
        <f t="shared" si="117"/>
        <v>1319</v>
      </c>
      <c r="J378" s="13"/>
      <c r="K378" s="11">
        <v>40</v>
      </c>
      <c r="L378" s="11">
        <v>55</v>
      </c>
      <c r="M378" s="11">
        <f t="shared" si="88"/>
        <v>40</v>
      </c>
      <c r="N378" s="11">
        <f t="shared" si="89"/>
        <v>55</v>
      </c>
      <c r="O378" s="11">
        <v>0</v>
      </c>
      <c r="P378" s="11">
        <v>0</v>
      </c>
      <c r="Q378" s="11">
        <v>25</v>
      </c>
      <c r="R378" s="11">
        <v>25</v>
      </c>
      <c r="S378" s="11">
        <v>20</v>
      </c>
      <c r="T378" s="11">
        <v>20</v>
      </c>
      <c r="U378" s="11">
        <v>1200</v>
      </c>
      <c r="V378" s="11">
        <v>1</v>
      </c>
      <c r="W378" s="11">
        <v>15</v>
      </c>
      <c r="X378" s="11">
        <v>17</v>
      </c>
      <c r="Y378" s="11">
        <v>75</v>
      </c>
      <c r="Z378" s="11">
        <v>300</v>
      </c>
      <c r="AA378" s="11">
        <v>50</v>
      </c>
    </row>
    <row r="379" spans="1:27" s="11" customFormat="1">
      <c r="A379" s="11" t="str">
        <f t="shared" si="116"/>
        <v>PhyType.NewNpcType_2506</v>
      </c>
      <c r="B379" s="11" t="s">
        <v>137</v>
      </c>
      <c r="C379" s="11">
        <v>2506</v>
      </c>
      <c r="D379" s="12">
        <v>2506</v>
      </c>
      <c r="E379" s="12"/>
      <c r="F379" s="12"/>
      <c r="G379" s="12" t="s">
        <v>195</v>
      </c>
      <c r="H379" s="13" t="s">
        <v>251</v>
      </c>
      <c r="I379" s="19">
        <f t="shared" si="117"/>
        <v>1154</v>
      </c>
      <c r="J379" s="13"/>
      <c r="K379" s="11">
        <v>55</v>
      </c>
      <c r="L379" s="11">
        <v>80</v>
      </c>
      <c r="M379" s="11">
        <f t="shared" si="88"/>
        <v>55</v>
      </c>
      <c r="N379" s="11">
        <f t="shared" si="89"/>
        <v>80</v>
      </c>
      <c r="O379" s="11">
        <v>0</v>
      </c>
      <c r="P379" s="11">
        <v>0</v>
      </c>
      <c r="Q379" s="11">
        <v>8</v>
      </c>
      <c r="R379" s="11">
        <v>8</v>
      </c>
      <c r="S379" s="11">
        <v>20</v>
      </c>
      <c r="T379" s="11">
        <v>20</v>
      </c>
      <c r="U379" s="11">
        <v>1050</v>
      </c>
      <c r="V379" s="11">
        <v>1</v>
      </c>
      <c r="W379" s="11">
        <v>15</v>
      </c>
      <c r="X379" s="11">
        <v>17</v>
      </c>
      <c r="Y379" s="11">
        <v>75</v>
      </c>
      <c r="Z379" s="11">
        <v>300</v>
      </c>
      <c r="AA379" s="11">
        <v>50</v>
      </c>
    </row>
    <row r="380" spans="1:27" s="11" customFormat="1">
      <c r="A380" s="11" t="str">
        <f t="shared" si="116"/>
        <v>PhyType.NewNpcType_2507</v>
      </c>
      <c r="B380" s="11" t="s">
        <v>137</v>
      </c>
      <c r="C380" s="11">
        <v>2507</v>
      </c>
      <c r="D380" s="12">
        <v>2507</v>
      </c>
      <c r="E380" s="12"/>
      <c r="F380" s="12"/>
      <c r="G380" s="12" t="s">
        <v>196</v>
      </c>
      <c r="H380" s="13" t="s">
        <v>252</v>
      </c>
      <c r="I380" s="19">
        <f t="shared" si="117"/>
        <v>934.00000000000011</v>
      </c>
      <c r="J380" s="13"/>
      <c r="K380" s="11">
        <v>30</v>
      </c>
      <c r="L380" s="11">
        <v>50</v>
      </c>
      <c r="M380" s="11">
        <f t="shared" ref="M380:M451" si="118">K380</f>
        <v>30</v>
      </c>
      <c r="N380" s="11">
        <f t="shared" ref="N380:N451" si="119">L380</f>
        <v>50</v>
      </c>
      <c r="O380" s="11">
        <v>0</v>
      </c>
      <c r="P380" s="11">
        <v>0</v>
      </c>
      <c r="Q380" s="11">
        <v>18</v>
      </c>
      <c r="R380" s="11">
        <v>18</v>
      </c>
      <c r="S380" s="11">
        <v>12</v>
      </c>
      <c r="T380" s="11">
        <v>12</v>
      </c>
      <c r="U380" s="11">
        <v>850</v>
      </c>
      <c r="V380" s="11">
        <v>1</v>
      </c>
      <c r="W380" s="11">
        <v>13</v>
      </c>
      <c r="X380" s="11">
        <v>15</v>
      </c>
      <c r="Y380" s="11">
        <v>75</v>
      </c>
      <c r="Z380" s="11">
        <v>300</v>
      </c>
      <c r="AA380" s="11">
        <v>50</v>
      </c>
    </row>
    <row r="381" spans="1:27" s="11" customFormat="1">
      <c r="A381" s="11" t="str">
        <f t="shared" si="116"/>
        <v>PhyType.NewNpcType_2508</v>
      </c>
      <c r="B381" s="11" t="s">
        <v>137</v>
      </c>
      <c r="C381" s="11">
        <v>2508</v>
      </c>
      <c r="D381" s="12">
        <v>2508</v>
      </c>
      <c r="E381" s="12"/>
      <c r="F381" s="12"/>
      <c r="G381" s="12" t="s">
        <v>197</v>
      </c>
      <c r="H381" s="13" t="s">
        <v>252</v>
      </c>
      <c r="I381" s="19">
        <f t="shared" si="117"/>
        <v>989.00000000000011</v>
      </c>
      <c r="J381" s="13"/>
      <c r="K381" s="11">
        <v>15</v>
      </c>
      <c r="L381" s="11">
        <v>80</v>
      </c>
      <c r="M381" s="11">
        <f t="shared" si="118"/>
        <v>15</v>
      </c>
      <c r="N381" s="11">
        <f t="shared" si="119"/>
        <v>80</v>
      </c>
      <c r="O381" s="11">
        <v>0</v>
      </c>
      <c r="P381" s="11">
        <v>0</v>
      </c>
      <c r="Q381" s="11">
        <v>5</v>
      </c>
      <c r="R381" s="11">
        <v>5</v>
      </c>
      <c r="S381" s="11">
        <v>12</v>
      </c>
      <c r="T381" s="11">
        <v>12</v>
      </c>
      <c r="U381" s="11">
        <v>900</v>
      </c>
      <c r="V381" s="11">
        <v>1</v>
      </c>
      <c r="W381" s="11">
        <v>13</v>
      </c>
      <c r="X381" s="11">
        <v>15</v>
      </c>
      <c r="Y381" s="11">
        <v>75</v>
      </c>
      <c r="Z381" s="11">
        <v>300</v>
      </c>
      <c r="AA381" s="11">
        <v>50</v>
      </c>
    </row>
    <row r="382" spans="1:27" s="11" customFormat="1">
      <c r="A382" s="11" t="str">
        <f t="shared" si="116"/>
        <v>PhyType.NewNpcType_2509</v>
      </c>
      <c r="B382" s="11" t="s">
        <v>137</v>
      </c>
      <c r="C382" s="11">
        <v>2509</v>
      </c>
      <c r="D382" s="12">
        <v>2509</v>
      </c>
      <c r="E382" s="12"/>
      <c r="F382" s="12"/>
      <c r="G382" s="12" t="s">
        <v>198</v>
      </c>
      <c r="H382" s="13" t="s">
        <v>252</v>
      </c>
      <c r="I382" s="19">
        <f t="shared" si="117"/>
        <v>879.00000000000011</v>
      </c>
      <c r="J382" s="13"/>
      <c r="K382" s="11">
        <v>25</v>
      </c>
      <c r="L382" s="11">
        <v>40</v>
      </c>
      <c r="M382" s="11">
        <f t="shared" si="118"/>
        <v>25</v>
      </c>
      <c r="N382" s="11">
        <f t="shared" si="119"/>
        <v>40</v>
      </c>
      <c r="O382" s="11">
        <v>0</v>
      </c>
      <c r="P382" s="11">
        <v>0</v>
      </c>
      <c r="Q382" s="11">
        <v>5</v>
      </c>
      <c r="R382" s="11">
        <v>5</v>
      </c>
      <c r="S382" s="11">
        <v>12</v>
      </c>
      <c r="T382" s="11">
        <v>12</v>
      </c>
      <c r="U382" s="11">
        <v>800</v>
      </c>
      <c r="V382" s="11">
        <v>1</v>
      </c>
      <c r="W382" s="11">
        <v>13</v>
      </c>
      <c r="X382" s="11">
        <v>15</v>
      </c>
      <c r="Y382" s="11">
        <v>75</v>
      </c>
      <c r="Z382" s="11">
        <v>300</v>
      </c>
      <c r="AA382" s="11">
        <v>50</v>
      </c>
    </row>
    <row r="383" spans="1:27" s="11" customFormat="1">
      <c r="A383" s="11" t="str">
        <f t="shared" si="116"/>
        <v>PhyType.NewNpcType_2510</v>
      </c>
      <c r="B383" s="11" t="s">
        <v>137</v>
      </c>
      <c r="C383" s="11">
        <v>2510</v>
      </c>
      <c r="D383" s="12">
        <v>2510</v>
      </c>
      <c r="E383" s="12"/>
      <c r="F383" s="12"/>
      <c r="G383" s="12" t="s">
        <v>199</v>
      </c>
      <c r="H383" s="13" t="s">
        <v>253</v>
      </c>
      <c r="I383" s="19">
        <f t="shared" si="117"/>
        <v>1264</v>
      </c>
      <c r="J383" s="13"/>
      <c r="K383" s="11">
        <v>60</v>
      </c>
      <c r="L383" s="11">
        <v>85</v>
      </c>
      <c r="M383" s="11">
        <f t="shared" si="118"/>
        <v>60</v>
      </c>
      <c r="N383" s="11">
        <f t="shared" si="119"/>
        <v>85</v>
      </c>
      <c r="O383" s="11">
        <v>0</v>
      </c>
      <c r="P383" s="11">
        <v>0</v>
      </c>
      <c r="Q383" s="11">
        <v>8</v>
      </c>
      <c r="R383" s="11">
        <v>8</v>
      </c>
      <c r="S383" s="11">
        <v>20</v>
      </c>
      <c r="T383" s="11">
        <v>20</v>
      </c>
      <c r="U383" s="11">
        <v>1150</v>
      </c>
      <c r="V383" s="11">
        <v>1</v>
      </c>
      <c r="W383" s="11">
        <v>15</v>
      </c>
      <c r="X383" s="11">
        <v>17</v>
      </c>
      <c r="Y383" s="11">
        <v>75</v>
      </c>
      <c r="Z383" s="11">
        <v>300</v>
      </c>
      <c r="AA383" s="11">
        <v>50</v>
      </c>
    </row>
    <row r="384" spans="1:27" s="11" customFormat="1">
      <c r="A384" s="11" t="str">
        <f t="shared" si="116"/>
        <v>PhyType.NewNpcType_2511</v>
      </c>
      <c r="B384" s="11" t="s">
        <v>137</v>
      </c>
      <c r="C384" s="11">
        <v>2511</v>
      </c>
      <c r="D384" s="12">
        <v>2511</v>
      </c>
      <c r="E384" s="12"/>
      <c r="F384" s="12"/>
      <c r="G384" s="12" t="s">
        <v>200</v>
      </c>
      <c r="H384" s="13" t="s">
        <v>253</v>
      </c>
      <c r="I384" s="19">
        <f t="shared" si="117"/>
        <v>989.00000000000011</v>
      </c>
      <c r="J384" s="13"/>
      <c r="K384" s="11">
        <v>55</v>
      </c>
      <c r="L384" s="11">
        <v>80</v>
      </c>
      <c r="M384" s="11">
        <f t="shared" si="118"/>
        <v>55</v>
      </c>
      <c r="N384" s="11">
        <f t="shared" si="119"/>
        <v>80</v>
      </c>
      <c r="O384" s="11">
        <v>0</v>
      </c>
      <c r="P384" s="11">
        <v>0</v>
      </c>
      <c r="Q384" s="11">
        <v>8</v>
      </c>
      <c r="R384" s="11">
        <v>8</v>
      </c>
      <c r="S384" s="11">
        <v>20</v>
      </c>
      <c r="T384" s="11">
        <v>20</v>
      </c>
      <c r="U384" s="11">
        <v>900</v>
      </c>
      <c r="V384" s="11">
        <v>1</v>
      </c>
      <c r="W384" s="11">
        <v>15</v>
      </c>
      <c r="X384" s="11">
        <v>17</v>
      </c>
      <c r="Y384" s="11">
        <v>75</v>
      </c>
      <c r="Z384" s="11">
        <v>300</v>
      </c>
      <c r="AA384" s="11">
        <v>50</v>
      </c>
    </row>
    <row r="385" spans="1:27" s="34" customFormat="1">
      <c r="A385" s="34" t="str">
        <f t="shared" ref="A385:A433" si="120">"PhyType.NewNpcType_"&amp;D385</f>
        <v>PhyType.NewNpcType_2512</v>
      </c>
      <c r="B385" s="34" t="s">
        <v>137</v>
      </c>
      <c r="C385" s="34">
        <v>2512</v>
      </c>
      <c r="D385" s="35">
        <v>2512</v>
      </c>
      <c r="E385" s="35"/>
      <c r="F385" s="35"/>
      <c r="G385" s="35" t="s">
        <v>201</v>
      </c>
      <c r="H385" s="36" t="s">
        <v>250</v>
      </c>
      <c r="I385" s="37">
        <f t="shared" si="117"/>
        <v>2859.0000000000005</v>
      </c>
      <c r="J385" s="36"/>
      <c r="K385" s="34">
        <v>60</v>
      </c>
      <c r="L385" s="34">
        <v>90</v>
      </c>
      <c r="M385" s="34">
        <f t="shared" si="118"/>
        <v>60</v>
      </c>
      <c r="N385" s="34">
        <f t="shared" si="119"/>
        <v>90</v>
      </c>
      <c r="O385" s="34">
        <v>0</v>
      </c>
      <c r="P385" s="34">
        <v>0</v>
      </c>
      <c r="Q385" s="34">
        <v>10</v>
      </c>
      <c r="R385" s="34">
        <v>10</v>
      </c>
      <c r="S385" s="34">
        <v>17</v>
      </c>
      <c r="T385" s="34">
        <v>17</v>
      </c>
      <c r="U385" s="34">
        <v>2600</v>
      </c>
      <c r="V385" s="34">
        <v>1</v>
      </c>
      <c r="W385" s="34">
        <v>15</v>
      </c>
      <c r="X385" s="34">
        <v>17</v>
      </c>
      <c r="Y385" s="34">
        <v>75</v>
      </c>
      <c r="Z385" s="34">
        <v>300</v>
      </c>
      <c r="AA385" s="34">
        <v>50</v>
      </c>
    </row>
    <row r="386" spans="1:27" s="11" customFormat="1">
      <c r="A386" s="11" t="str">
        <f t="shared" si="120"/>
        <v>PhyType.NewNpcType_2513</v>
      </c>
      <c r="B386" s="11" t="s">
        <v>137</v>
      </c>
      <c r="C386" s="11">
        <v>2513</v>
      </c>
      <c r="D386" s="12">
        <v>2513</v>
      </c>
      <c r="E386" s="12"/>
      <c r="F386" s="12"/>
      <c r="G386" s="12" t="s">
        <v>202</v>
      </c>
      <c r="H386" s="13" t="s">
        <v>250</v>
      </c>
      <c r="I386" s="19">
        <f t="shared" si="117"/>
        <v>131</v>
      </c>
      <c r="J386" s="13"/>
      <c r="K386" s="11">
        <v>150</v>
      </c>
      <c r="L386" s="11">
        <v>250</v>
      </c>
      <c r="M386" s="11">
        <f t="shared" si="118"/>
        <v>150</v>
      </c>
      <c r="N386" s="11">
        <f t="shared" si="119"/>
        <v>250</v>
      </c>
      <c r="O386" s="11">
        <v>0</v>
      </c>
      <c r="P386" s="11">
        <v>0</v>
      </c>
      <c r="Q386" s="11">
        <v>5</v>
      </c>
      <c r="R386" s="11">
        <v>5</v>
      </c>
      <c r="S386" s="11">
        <v>12</v>
      </c>
      <c r="T386" s="11">
        <v>12</v>
      </c>
      <c r="U386" s="11">
        <v>120</v>
      </c>
      <c r="V386" s="11">
        <v>1</v>
      </c>
      <c r="W386" s="11">
        <v>13</v>
      </c>
      <c r="X386" s="11">
        <v>15</v>
      </c>
      <c r="Y386" s="11">
        <v>75</v>
      </c>
      <c r="Z386" s="11">
        <v>300</v>
      </c>
      <c r="AA386" s="11">
        <v>50</v>
      </c>
    </row>
    <row r="387" spans="1:27" s="34" customFormat="1">
      <c r="A387" s="34" t="str">
        <f t="shared" si="120"/>
        <v>PhyType.NewNpcType_2514</v>
      </c>
      <c r="B387" s="34" t="s">
        <v>137</v>
      </c>
      <c r="C387" s="34">
        <v>2514</v>
      </c>
      <c r="D387" s="35">
        <v>2514</v>
      </c>
      <c r="E387" s="35"/>
      <c r="F387" s="35"/>
      <c r="G387" s="35" t="s">
        <v>203</v>
      </c>
      <c r="H387" s="36" t="s">
        <v>251</v>
      </c>
      <c r="I387" s="37">
        <f t="shared" si="117"/>
        <v>3959.0000000000005</v>
      </c>
      <c r="J387" s="36"/>
      <c r="K387" s="34">
        <v>70</v>
      </c>
      <c r="L387" s="34">
        <v>100</v>
      </c>
      <c r="M387" s="34">
        <f t="shared" si="118"/>
        <v>70</v>
      </c>
      <c r="N387" s="34">
        <f t="shared" si="119"/>
        <v>100</v>
      </c>
      <c r="O387" s="34">
        <v>0</v>
      </c>
      <c r="P387" s="34">
        <v>0</v>
      </c>
      <c r="Q387" s="34">
        <v>18</v>
      </c>
      <c r="R387" s="34">
        <v>18</v>
      </c>
      <c r="S387" s="34">
        <v>25</v>
      </c>
      <c r="T387" s="34">
        <v>25</v>
      </c>
      <c r="U387" s="34">
        <v>3600</v>
      </c>
      <c r="V387" s="34">
        <v>1</v>
      </c>
      <c r="W387" s="34">
        <v>16</v>
      </c>
      <c r="X387" s="34">
        <v>19</v>
      </c>
      <c r="Y387" s="34">
        <v>75</v>
      </c>
      <c r="Z387" s="34">
        <v>300</v>
      </c>
      <c r="AA387" s="34">
        <v>50</v>
      </c>
    </row>
    <row r="388" spans="1:27" s="34" customFormat="1">
      <c r="A388" s="34" t="str">
        <f t="shared" si="120"/>
        <v>PhyType.NewNpcType_2515</v>
      </c>
      <c r="B388" s="34" t="s">
        <v>137</v>
      </c>
      <c r="C388" s="34">
        <v>2515</v>
      </c>
      <c r="D388" s="35">
        <v>2515</v>
      </c>
      <c r="E388" s="35"/>
      <c r="F388" s="35"/>
      <c r="G388" s="35" t="s">
        <v>204</v>
      </c>
      <c r="H388" s="36" t="s">
        <v>251</v>
      </c>
      <c r="I388" s="37">
        <f t="shared" si="117"/>
        <v>3629.0000000000005</v>
      </c>
      <c r="J388" s="36"/>
      <c r="K388" s="34">
        <v>80</v>
      </c>
      <c r="L388" s="34">
        <v>115</v>
      </c>
      <c r="M388" s="34">
        <f t="shared" si="118"/>
        <v>80</v>
      </c>
      <c r="N388" s="34">
        <f t="shared" si="119"/>
        <v>115</v>
      </c>
      <c r="O388" s="34">
        <v>0</v>
      </c>
      <c r="P388" s="34">
        <v>0</v>
      </c>
      <c r="Q388" s="34">
        <v>15</v>
      </c>
      <c r="R388" s="34">
        <v>15</v>
      </c>
      <c r="S388" s="34">
        <v>30</v>
      </c>
      <c r="T388" s="34">
        <v>30</v>
      </c>
      <c r="U388" s="34">
        <v>3300</v>
      </c>
      <c r="V388" s="34">
        <v>1</v>
      </c>
      <c r="W388" s="34">
        <v>16</v>
      </c>
      <c r="X388" s="34">
        <v>19</v>
      </c>
      <c r="Y388" s="34">
        <v>75</v>
      </c>
      <c r="Z388" s="34">
        <v>300</v>
      </c>
      <c r="AA388" s="34">
        <v>50</v>
      </c>
    </row>
    <row r="389" spans="1:27" s="11" customFormat="1">
      <c r="A389" s="11" t="str">
        <f t="shared" ref="A389:A394" si="121">"PhyType.NewNpcType_"&amp;D389</f>
        <v>PhyType.NewNpcType_2516</v>
      </c>
      <c r="B389" s="11" t="s">
        <v>137</v>
      </c>
      <c r="C389" s="11">
        <v>2516</v>
      </c>
      <c r="D389" s="12">
        <v>2516</v>
      </c>
      <c r="E389" s="12"/>
      <c r="F389" s="12"/>
      <c r="G389" s="12" t="s">
        <v>208</v>
      </c>
      <c r="H389" s="13" t="s">
        <v>253</v>
      </c>
      <c r="I389" s="19">
        <f t="shared" si="117"/>
        <v>1539.0000000000002</v>
      </c>
      <c r="J389" s="13"/>
      <c r="K389" s="11">
        <v>65</v>
      </c>
      <c r="L389" s="11">
        <v>90</v>
      </c>
      <c r="M389" s="11">
        <f t="shared" si="118"/>
        <v>65</v>
      </c>
      <c r="N389" s="11">
        <f t="shared" si="119"/>
        <v>90</v>
      </c>
      <c r="O389" s="11">
        <v>0</v>
      </c>
      <c r="P389" s="11">
        <v>0</v>
      </c>
      <c r="Q389" s="11">
        <v>30</v>
      </c>
      <c r="R389" s="11">
        <v>30</v>
      </c>
      <c r="S389" s="11">
        <v>20</v>
      </c>
      <c r="T389" s="11">
        <v>20</v>
      </c>
      <c r="U389" s="11">
        <v>1400</v>
      </c>
      <c r="V389" s="11">
        <v>1</v>
      </c>
      <c r="W389" s="11">
        <v>15</v>
      </c>
      <c r="X389" s="11">
        <v>17</v>
      </c>
      <c r="Y389" s="11">
        <v>75</v>
      </c>
      <c r="Z389" s="11">
        <v>300</v>
      </c>
      <c r="AA389" s="11">
        <v>50</v>
      </c>
    </row>
    <row r="390" spans="1:27" s="11" customFormat="1">
      <c r="A390" s="11" t="str">
        <f t="shared" si="121"/>
        <v>PhyType.NewNpcType_2517</v>
      </c>
      <c r="B390" s="11" t="s">
        <v>137</v>
      </c>
      <c r="C390" s="11">
        <v>2517</v>
      </c>
      <c r="D390" s="12">
        <v>2517</v>
      </c>
      <c r="E390" s="12"/>
      <c r="F390" s="12"/>
      <c r="G390" s="12" t="s">
        <v>209</v>
      </c>
      <c r="H390" s="13" t="s">
        <v>253</v>
      </c>
      <c r="I390" s="19">
        <f t="shared" si="117"/>
        <v>1374</v>
      </c>
      <c r="J390" s="13"/>
      <c r="K390" s="11">
        <v>60</v>
      </c>
      <c r="L390" s="11">
        <v>85</v>
      </c>
      <c r="M390" s="11">
        <f t="shared" si="118"/>
        <v>60</v>
      </c>
      <c r="N390" s="11">
        <f t="shared" si="119"/>
        <v>85</v>
      </c>
      <c r="O390" s="11">
        <v>0</v>
      </c>
      <c r="P390" s="11">
        <v>0</v>
      </c>
      <c r="Q390" s="11">
        <v>8</v>
      </c>
      <c r="R390" s="11">
        <v>8</v>
      </c>
      <c r="S390" s="11">
        <v>20</v>
      </c>
      <c r="T390" s="11">
        <v>20</v>
      </c>
      <c r="U390" s="11">
        <v>1250</v>
      </c>
      <c r="V390" s="11">
        <v>1</v>
      </c>
      <c r="W390" s="11">
        <v>15</v>
      </c>
      <c r="X390" s="11">
        <v>17</v>
      </c>
      <c r="Y390" s="11">
        <v>75</v>
      </c>
      <c r="Z390" s="11">
        <v>300</v>
      </c>
      <c r="AA390" s="11">
        <v>50</v>
      </c>
    </row>
    <row r="391" spans="1:27" s="11" customFormat="1">
      <c r="A391" s="11" t="str">
        <f t="shared" si="121"/>
        <v>PhyType.NewNpcType_2518</v>
      </c>
      <c r="B391" s="11" t="s">
        <v>137</v>
      </c>
      <c r="C391" s="11">
        <v>2518</v>
      </c>
      <c r="D391" s="12">
        <v>2518</v>
      </c>
      <c r="E391" s="12"/>
      <c r="F391" s="12"/>
      <c r="G391" s="12" t="s">
        <v>285</v>
      </c>
      <c r="H391" s="13" t="s">
        <v>252</v>
      </c>
      <c r="I391" s="19">
        <f t="shared" si="117"/>
        <v>1099</v>
      </c>
      <c r="J391" s="13"/>
      <c r="K391" s="11">
        <v>30</v>
      </c>
      <c r="L391" s="11">
        <v>40</v>
      </c>
      <c r="M391" s="11">
        <f t="shared" ref="M391:M394" si="122">K391</f>
        <v>30</v>
      </c>
      <c r="N391" s="11">
        <f t="shared" ref="N391:N394" si="123">L391</f>
        <v>40</v>
      </c>
      <c r="O391" s="11">
        <v>0</v>
      </c>
      <c r="P391" s="11">
        <v>0</v>
      </c>
      <c r="Q391" s="11">
        <v>5</v>
      </c>
      <c r="R391" s="11">
        <v>5</v>
      </c>
      <c r="S391" s="11">
        <v>12</v>
      </c>
      <c r="T391" s="11">
        <v>12</v>
      </c>
      <c r="U391" s="11">
        <v>1000</v>
      </c>
      <c r="V391" s="11">
        <v>1</v>
      </c>
      <c r="W391" s="11">
        <v>13</v>
      </c>
      <c r="X391" s="11">
        <v>15</v>
      </c>
      <c r="Y391" s="11">
        <v>75</v>
      </c>
      <c r="Z391" s="11">
        <v>300</v>
      </c>
      <c r="AA391" s="11">
        <v>50</v>
      </c>
    </row>
    <row r="392" spans="1:27" s="34" customFormat="1">
      <c r="A392" s="34" t="str">
        <f t="shared" si="121"/>
        <v>PhyType.NewNpcType_2519</v>
      </c>
      <c r="B392" s="34" t="s">
        <v>137</v>
      </c>
      <c r="C392" s="34">
        <v>2519</v>
      </c>
      <c r="D392" s="35">
        <v>2519</v>
      </c>
      <c r="E392" s="35"/>
      <c r="F392" s="35"/>
      <c r="G392" s="35" t="s">
        <v>286</v>
      </c>
      <c r="H392" s="36" t="s">
        <v>287</v>
      </c>
      <c r="I392" s="37">
        <f t="shared" si="117"/>
        <v>2089</v>
      </c>
      <c r="J392" s="36"/>
      <c r="K392" s="34">
        <v>40</v>
      </c>
      <c r="L392" s="34">
        <v>60</v>
      </c>
      <c r="M392" s="34">
        <f t="shared" si="122"/>
        <v>40</v>
      </c>
      <c r="N392" s="34">
        <f t="shared" si="123"/>
        <v>60</v>
      </c>
      <c r="O392" s="34">
        <v>0</v>
      </c>
      <c r="P392" s="34">
        <v>0</v>
      </c>
      <c r="Q392" s="34">
        <v>5</v>
      </c>
      <c r="R392" s="34">
        <v>5</v>
      </c>
      <c r="S392" s="34">
        <v>12</v>
      </c>
      <c r="T392" s="34">
        <v>12</v>
      </c>
      <c r="U392" s="34">
        <v>1900</v>
      </c>
      <c r="V392" s="34">
        <v>1</v>
      </c>
      <c r="W392" s="34">
        <v>15</v>
      </c>
      <c r="X392" s="34">
        <v>17</v>
      </c>
      <c r="Y392" s="34">
        <v>75</v>
      </c>
      <c r="Z392" s="34">
        <v>300</v>
      </c>
      <c r="AA392" s="34">
        <v>50</v>
      </c>
    </row>
    <row r="393" spans="1:27" s="11" customFormat="1">
      <c r="A393" s="11" t="str">
        <f t="shared" si="121"/>
        <v>PhyType.NewNpcType_2520</v>
      </c>
      <c r="B393" s="11" t="s">
        <v>137</v>
      </c>
      <c r="C393" s="11">
        <v>2520</v>
      </c>
      <c r="D393" s="12">
        <v>2520</v>
      </c>
      <c r="E393" s="12"/>
      <c r="F393" s="12"/>
      <c r="G393" s="12" t="s">
        <v>320</v>
      </c>
      <c r="H393" s="13" t="s">
        <v>322</v>
      </c>
      <c r="I393" s="19">
        <f>U393*1.1-1</f>
        <v>989.00000000000011</v>
      </c>
      <c r="J393" s="13"/>
      <c r="K393" s="11">
        <v>60</v>
      </c>
      <c r="L393" s="11">
        <v>90</v>
      </c>
      <c r="M393" s="11">
        <f t="shared" si="122"/>
        <v>60</v>
      </c>
      <c r="N393" s="11">
        <f t="shared" si="123"/>
        <v>90</v>
      </c>
      <c r="O393" s="11">
        <v>0</v>
      </c>
      <c r="P393" s="11">
        <v>0</v>
      </c>
      <c r="Q393" s="11">
        <v>8</v>
      </c>
      <c r="R393" s="11">
        <v>8</v>
      </c>
      <c r="S393" s="11">
        <v>20</v>
      </c>
      <c r="T393" s="11">
        <v>20</v>
      </c>
      <c r="U393" s="11">
        <v>900</v>
      </c>
      <c r="V393" s="11">
        <v>1</v>
      </c>
      <c r="W393" s="11">
        <v>15</v>
      </c>
      <c r="X393" s="11">
        <v>19</v>
      </c>
      <c r="Y393" s="11">
        <v>75</v>
      </c>
      <c r="Z393" s="11">
        <v>300</v>
      </c>
      <c r="AA393" s="11">
        <v>50</v>
      </c>
    </row>
    <row r="394" spans="1:27" s="11" customFormat="1">
      <c r="A394" s="11" t="str">
        <f t="shared" si="121"/>
        <v>PhyType.NewNpcType_2521</v>
      </c>
      <c r="B394" s="11" t="s">
        <v>137</v>
      </c>
      <c r="C394" s="11">
        <v>2521</v>
      </c>
      <c r="D394" s="12">
        <v>2521</v>
      </c>
      <c r="E394" s="12"/>
      <c r="F394" s="12"/>
      <c r="G394" s="12" t="s">
        <v>324</v>
      </c>
      <c r="H394" s="13" t="s">
        <v>250</v>
      </c>
      <c r="I394" s="19">
        <f t="shared" ref="I394" si="124">U394*1.1-1</f>
        <v>1154</v>
      </c>
      <c r="J394" s="13"/>
      <c r="K394" s="11">
        <v>30</v>
      </c>
      <c r="L394" s="11">
        <v>45</v>
      </c>
      <c r="M394" s="11">
        <f t="shared" si="122"/>
        <v>30</v>
      </c>
      <c r="N394" s="11">
        <f t="shared" si="123"/>
        <v>45</v>
      </c>
      <c r="O394" s="11">
        <v>0</v>
      </c>
      <c r="P394" s="11">
        <v>0</v>
      </c>
      <c r="Q394" s="11">
        <v>20</v>
      </c>
      <c r="R394" s="11">
        <v>20</v>
      </c>
      <c r="S394" s="11">
        <v>12</v>
      </c>
      <c r="T394" s="11">
        <v>12</v>
      </c>
      <c r="U394" s="11">
        <v>1050</v>
      </c>
      <c r="V394" s="11">
        <v>1</v>
      </c>
      <c r="W394" s="11">
        <v>13</v>
      </c>
      <c r="X394" s="11">
        <v>15</v>
      </c>
      <c r="Y394" s="11">
        <v>75</v>
      </c>
      <c r="Z394" s="11">
        <v>300</v>
      </c>
      <c r="AA394" s="11">
        <v>50</v>
      </c>
    </row>
    <row r="395" spans="1:27" s="30" customFormat="1">
      <c r="A395" s="30" t="str">
        <f t="shared" si="120"/>
        <v>PhyType.NewNpcType_2601</v>
      </c>
      <c r="B395" s="30" t="s">
        <v>137</v>
      </c>
      <c r="C395" s="30">
        <v>2601</v>
      </c>
      <c r="D395" s="31">
        <v>2601</v>
      </c>
      <c r="E395" s="31"/>
      <c r="F395" s="31"/>
      <c r="G395" s="32" t="s">
        <v>205</v>
      </c>
      <c r="H395" s="32" t="s">
        <v>253</v>
      </c>
      <c r="I395" s="33">
        <v>49999</v>
      </c>
      <c r="J395" s="32"/>
      <c r="K395" s="30">
        <v>80</v>
      </c>
      <c r="L395" s="30">
        <v>150</v>
      </c>
      <c r="M395" s="30">
        <f t="shared" si="118"/>
        <v>80</v>
      </c>
      <c r="N395" s="30">
        <f t="shared" si="119"/>
        <v>150</v>
      </c>
      <c r="O395" s="30">
        <v>0</v>
      </c>
      <c r="P395" s="30">
        <v>0</v>
      </c>
      <c r="Q395" s="30">
        <v>25</v>
      </c>
      <c r="R395" s="30">
        <v>25</v>
      </c>
      <c r="S395" s="30">
        <v>50</v>
      </c>
      <c r="T395" s="30">
        <v>70</v>
      </c>
      <c r="U395" s="30">
        <v>250000</v>
      </c>
      <c r="V395" s="30">
        <v>1</v>
      </c>
      <c r="W395" s="30">
        <v>15</v>
      </c>
      <c r="X395" s="30">
        <v>18</v>
      </c>
      <c r="Y395" s="30">
        <v>75</v>
      </c>
      <c r="Z395" s="30">
        <v>300</v>
      </c>
      <c r="AA395" s="30">
        <v>50</v>
      </c>
    </row>
    <row r="396" spans="1:27" s="49" customFormat="1">
      <c r="A396" s="49" t="str">
        <f t="shared" si="120"/>
        <v>PhyType.NewNpcType_3001</v>
      </c>
      <c r="B396" s="49" t="s">
        <v>137</v>
      </c>
      <c r="C396" s="49">
        <v>3001</v>
      </c>
      <c r="D396" s="50">
        <v>3001</v>
      </c>
      <c r="E396" s="50"/>
      <c r="F396" s="50"/>
      <c r="G396" s="50" t="s">
        <v>331</v>
      </c>
      <c r="H396" s="51" t="s">
        <v>339</v>
      </c>
      <c r="I396" s="52">
        <f>U396*0.9-1</f>
        <v>2249</v>
      </c>
      <c r="J396" s="51"/>
      <c r="K396" s="49">
        <v>50</v>
      </c>
      <c r="L396" s="49">
        <v>70</v>
      </c>
      <c r="M396" s="49">
        <f t="shared" si="118"/>
        <v>50</v>
      </c>
      <c r="N396" s="49">
        <f t="shared" si="119"/>
        <v>70</v>
      </c>
      <c r="O396" s="49">
        <v>0</v>
      </c>
      <c r="P396" s="49">
        <v>0</v>
      </c>
      <c r="Q396" s="49">
        <v>20</v>
      </c>
      <c r="R396" s="49">
        <v>20</v>
      </c>
      <c r="S396" s="49">
        <v>15</v>
      </c>
      <c r="T396" s="49">
        <v>15</v>
      </c>
      <c r="U396" s="49">
        <v>2500</v>
      </c>
      <c r="V396" s="49">
        <v>1</v>
      </c>
      <c r="W396" s="49">
        <v>17</v>
      </c>
      <c r="X396" s="49">
        <v>17</v>
      </c>
      <c r="Y396" s="49">
        <v>75</v>
      </c>
      <c r="Z396" s="49">
        <v>300</v>
      </c>
      <c r="AA396" s="49">
        <v>50</v>
      </c>
    </row>
    <row r="397" spans="1:27" s="49" customFormat="1">
      <c r="A397" s="49" t="str">
        <f t="shared" si="120"/>
        <v>PhyType.NewNpcType_3002</v>
      </c>
      <c r="B397" s="49" t="s">
        <v>137</v>
      </c>
      <c r="C397" s="49">
        <v>3002</v>
      </c>
      <c r="D397" s="50">
        <v>3002</v>
      </c>
      <c r="E397" s="50"/>
      <c r="F397" s="50"/>
      <c r="G397" s="50" t="s">
        <v>334</v>
      </c>
      <c r="H397" s="51" t="s">
        <v>339</v>
      </c>
      <c r="I397" s="52">
        <f t="shared" ref="I397:I403" si="125">U397*0.9-1</f>
        <v>1799</v>
      </c>
      <c r="J397" s="51"/>
      <c r="K397" s="49">
        <v>60</v>
      </c>
      <c r="L397" s="49">
        <v>85</v>
      </c>
      <c r="M397" s="49">
        <f t="shared" si="118"/>
        <v>60</v>
      </c>
      <c r="N397" s="49">
        <f t="shared" si="119"/>
        <v>85</v>
      </c>
      <c r="O397" s="49">
        <v>0</v>
      </c>
      <c r="P397" s="49">
        <v>0</v>
      </c>
      <c r="Q397" s="49">
        <v>10</v>
      </c>
      <c r="R397" s="49">
        <v>10</v>
      </c>
      <c r="S397" s="49">
        <v>25</v>
      </c>
      <c r="T397" s="49">
        <v>25</v>
      </c>
      <c r="U397" s="49">
        <v>2000</v>
      </c>
      <c r="V397" s="49">
        <v>1</v>
      </c>
      <c r="W397" s="49">
        <v>17</v>
      </c>
      <c r="X397" s="49">
        <v>17</v>
      </c>
      <c r="Y397" s="49">
        <v>75</v>
      </c>
      <c r="Z397" s="49">
        <v>300</v>
      </c>
      <c r="AA397" s="49">
        <v>50</v>
      </c>
    </row>
    <row r="398" spans="1:27" s="49" customFormat="1">
      <c r="A398" s="49" t="str">
        <f t="shared" si="120"/>
        <v>PhyType.NewNpcType_3003</v>
      </c>
      <c r="B398" s="49" t="s">
        <v>137</v>
      </c>
      <c r="C398" s="49">
        <v>3003</v>
      </c>
      <c r="D398" s="50">
        <v>3003</v>
      </c>
      <c r="E398" s="50"/>
      <c r="F398" s="50"/>
      <c r="G398" s="50" t="s">
        <v>333</v>
      </c>
      <c r="H398" s="51" t="s">
        <v>339</v>
      </c>
      <c r="I398" s="52">
        <f t="shared" si="125"/>
        <v>1979</v>
      </c>
      <c r="J398" s="51"/>
      <c r="K398" s="49">
        <v>40</v>
      </c>
      <c r="L398" s="49">
        <v>80</v>
      </c>
      <c r="M398" s="49">
        <f t="shared" si="118"/>
        <v>40</v>
      </c>
      <c r="N398" s="49">
        <f t="shared" si="119"/>
        <v>80</v>
      </c>
      <c r="O398" s="49">
        <v>0</v>
      </c>
      <c r="P398" s="49">
        <v>0</v>
      </c>
      <c r="Q398" s="49">
        <v>15</v>
      </c>
      <c r="R398" s="49">
        <v>15</v>
      </c>
      <c r="S398" s="49">
        <v>20</v>
      </c>
      <c r="T398" s="49">
        <v>20</v>
      </c>
      <c r="U398" s="49">
        <v>2200</v>
      </c>
      <c r="V398" s="49">
        <v>1</v>
      </c>
      <c r="W398" s="49">
        <v>17</v>
      </c>
      <c r="X398" s="49">
        <v>17</v>
      </c>
      <c r="Y398" s="49">
        <v>75</v>
      </c>
      <c r="Z398" s="49">
        <v>300</v>
      </c>
      <c r="AA398" s="49">
        <v>50</v>
      </c>
    </row>
    <row r="399" spans="1:27" s="49" customFormat="1">
      <c r="A399" s="49" t="str">
        <f t="shared" si="120"/>
        <v>PhyType.NewNpcType_3004</v>
      </c>
      <c r="B399" s="49" t="s">
        <v>137</v>
      </c>
      <c r="C399" s="49">
        <v>3004</v>
      </c>
      <c r="D399" s="50">
        <v>3004</v>
      </c>
      <c r="E399" s="50"/>
      <c r="F399" s="50"/>
      <c r="G399" s="50" t="s">
        <v>332</v>
      </c>
      <c r="H399" s="51" t="s">
        <v>339</v>
      </c>
      <c r="I399" s="52">
        <v>49</v>
      </c>
      <c r="J399" s="51"/>
      <c r="K399" s="49">
        <v>40</v>
      </c>
      <c r="L399" s="49">
        <v>40</v>
      </c>
      <c r="M399" s="49">
        <f t="shared" si="118"/>
        <v>40</v>
      </c>
      <c r="N399" s="49">
        <f t="shared" si="119"/>
        <v>40</v>
      </c>
      <c r="O399" s="49">
        <v>0</v>
      </c>
      <c r="P399" s="49">
        <v>0</v>
      </c>
      <c r="Q399" s="49">
        <v>5</v>
      </c>
      <c r="R399" s="49">
        <v>5</v>
      </c>
      <c r="S399" s="49">
        <v>10</v>
      </c>
      <c r="T399" s="49">
        <v>10</v>
      </c>
      <c r="U399" s="49">
        <v>200</v>
      </c>
      <c r="V399" s="49">
        <v>1</v>
      </c>
      <c r="W399" s="49">
        <v>17</v>
      </c>
      <c r="X399" s="49">
        <v>17</v>
      </c>
      <c r="Y399" s="49">
        <v>75</v>
      </c>
      <c r="Z399" s="49">
        <v>300</v>
      </c>
      <c r="AA399" s="49">
        <v>50</v>
      </c>
    </row>
    <row r="400" spans="1:27" s="49" customFormat="1">
      <c r="A400" s="49" t="str">
        <f t="shared" si="120"/>
        <v>PhyType.NewNpcType_3005</v>
      </c>
      <c r="B400" s="49" t="s">
        <v>137</v>
      </c>
      <c r="C400" s="49">
        <v>3005</v>
      </c>
      <c r="D400" s="50">
        <v>3005</v>
      </c>
      <c r="E400" s="50"/>
      <c r="F400" s="50"/>
      <c r="G400" s="50" t="s">
        <v>335</v>
      </c>
      <c r="H400" s="51" t="s">
        <v>339</v>
      </c>
      <c r="I400" s="52">
        <f t="shared" si="125"/>
        <v>3149</v>
      </c>
      <c r="J400" s="51"/>
      <c r="K400" s="49">
        <v>1</v>
      </c>
      <c r="L400" s="49">
        <v>1</v>
      </c>
      <c r="M400" s="49">
        <f t="shared" si="118"/>
        <v>1</v>
      </c>
      <c r="N400" s="49">
        <f t="shared" si="119"/>
        <v>1</v>
      </c>
      <c r="O400" s="49">
        <v>0</v>
      </c>
      <c r="P400" s="49">
        <v>0</v>
      </c>
      <c r="Q400" s="49">
        <v>20</v>
      </c>
      <c r="R400" s="49">
        <v>20</v>
      </c>
      <c r="S400" s="49">
        <v>25</v>
      </c>
      <c r="T400" s="49">
        <v>25</v>
      </c>
      <c r="U400" s="49">
        <v>3500</v>
      </c>
      <c r="V400" s="49">
        <v>1</v>
      </c>
      <c r="W400" s="49">
        <v>17</v>
      </c>
      <c r="X400" s="49">
        <v>17</v>
      </c>
      <c r="Y400" s="49">
        <v>75</v>
      </c>
      <c r="Z400" s="49">
        <v>300</v>
      </c>
      <c r="AA400" s="49">
        <v>50</v>
      </c>
    </row>
    <row r="401" spans="1:28" s="53" customFormat="1">
      <c r="A401" s="53" t="str">
        <f t="shared" si="120"/>
        <v>PhyType.NewNpcType_3006</v>
      </c>
      <c r="B401" s="53" t="s">
        <v>137</v>
      </c>
      <c r="C401" s="53">
        <v>3006</v>
      </c>
      <c r="D401" s="54">
        <v>3006</v>
      </c>
      <c r="E401" s="54"/>
      <c r="F401" s="54"/>
      <c r="G401" s="54" t="s">
        <v>336</v>
      </c>
      <c r="H401" s="55" t="s">
        <v>339</v>
      </c>
      <c r="I401" s="56">
        <f t="shared" si="125"/>
        <v>7199</v>
      </c>
      <c r="J401" s="55"/>
      <c r="K401" s="53">
        <v>70</v>
      </c>
      <c r="L401" s="53">
        <v>110</v>
      </c>
      <c r="M401" s="53">
        <f t="shared" ref="M401:M403" si="126">K401</f>
        <v>70</v>
      </c>
      <c r="N401" s="53">
        <f t="shared" ref="N401:N403" si="127">L401</f>
        <v>110</v>
      </c>
      <c r="O401" s="53">
        <v>0</v>
      </c>
      <c r="P401" s="53">
        <v>0</v>
      </c>
      <c r="Q401" s="53">
        <v>30</v>
      </c>
      <c r="R401" s="53">
        <v>30</v>
      </c>
      <c r="S401" s="53">
        <v>20</v>
      </c>
      <c r="T401" s="53">
        <v>20</v>
      </c>
      <c r="U401" s="53">
        <v>8000</v>
      </c>
      <c r="V401" s="53">
        <v>1</v>
      </c>
      <c r="W401" s="53">
        <v>18</v>
      </c>
      <c r="X401" s="53">
        <v>18</v>
      </c>
      <c r="Y401" s="53">
        <v>75</v>
      </c>
      <c r="Z401" s="53">
        <v>300</v>
      </c>
      <c r="AA401" s="53">
        <v>50</v>
      </c>
    </row>
    <row r="402" spans="1:28" s="53" customFormat="1">
      <c r="A402" s="53" t="str">
        <f t="shared" si="120"/>
        <v>PhyType.NewNpcType_3007</v>
      </c>
      <c r="B402" s="53" t="s">
        <v>137</v>
      </c>
      <c r="C402" s="53">
        <v>3007</v>
      </c>
      <c r="D402" s="54">
        <v>3007</v>
      </c>
      <c r="E402" s="54"/>
      <c r="F402" s="54"/>
      <c r="G402" s="54" t="s">
        <v>337</v>
      </c>
      <c r="H402" s="55" t="s">
        <v>339</v>
      </c>
      <c r="I402" s="56">
        <f t="shared" si="125"/>
        <v>6299</v>
      </c>
      <c r="J402" s="55"/>
      <c r="K402" s="53">
        <v>60</v>
      </c>
      <c r="L402" s="53">
        <v>120</v>
      </c>
      <c r="M402" s="53">
        <f t="shared" si="126"/>
        <v>60</v>
      </c>
      <c r="N402" s="53">
        <f t="shared" si="127"/>
        <v>120</v>
      </c>
      <c r="O402" s="53">
        <v>0</v>
      </c>
      <c r="P402" s="53">
        <v>0</v>
      </c>
      <c r="Q402" s="53">
        <v>15</v>
      </c>
      <c r="R402" s="53">
        <v>15</v>
      </c>
      <c r="S402" s="53">
        <v>30</v>
      </c>
      <c r="T402" s="53">
        <v>30</v>
      </c>
      <c r="U402" s="53">
        <v>7000</v>
      </c>
      <c r="V402" s="53">
        <v>1</v>
      </c>
      <c r="W402" s="53">
        <v>18</v>
      </c>
      <c r="X402" s="53">
        <v>18</v>
      </c>
      <c r="Y402" s="53">
        <v>75</v>
      </c>
      <c r="Z402" s="53">
        <v>300</v>
      </c>
      <c r="AA402" s="53">
        <v>50</v>
      </c>
    </row>
    <row r="403" spans="1:28" s="53" customFormat="1">
      <c r="A403" s="53" t="str">
        <f t="shared" si="120"/>
        <v>PhyType.NewNpcType_3008</v>
      </c>
      <c r="B403" s="53" t="s">
        <v>137</v>
      </c>
      <c r="C403" s="53">
        <v>3008</v>
      </c>
      <c r="D403" s="54">
        <v>3008</v>
      </c>
      <c r="E403" s="54"/>
      <c r="F403" s="54"/>
      <c r="G403" s="54" t="s">
        <v>338</v>
      </c>
      <c r="H403" s="55" t="s">
        <v>339</v>
      </c>
      <c r="I403" s="56">
        <f t="shared" si="125"/>
        <v>6749</v>
      </c>
      <c r="J403" s="55"/>
      <c r="K403" s="53">
        <v>60</v>
      </c>
      <c r="L403" s="53">
        <v>100</v>
      </c>
      <c r="M403" s="53">
        <f t="shared" si="126"/>
        <v>60</v>
      </c>
      <c r="N403" s="53">
        <f t="shared" si="127"/>
        <v>100</v>
      </c>
      <c r="O403" s="53">
        <v>0</v>
      </c>
      <c r="P403" s="53">
        <v>0</v>
      </c>
      <c r="Q403" s="53">
        <v>25</v>
      </c>
      <c r="R403" s="53">
        <v>25</v>
      </c>
      <c r="S403" s="53">
        <v>40</v>
      </c>
      <c r="T403" s="53">
        <v>40</v>
      </c>
      <c r="U403" s="53">
        <v>7500</v>
      </c>
      <c r="V403" s="53">
        <v>1</v>
      </c>
      <c r="W403" s="53">
        <v>18</v>
      </c>
      <c r="X403" s="53">
        <v>18</v>
      </c>
      <c r="Y403" s="53">
        <v>75</v>
      </c>
      <c r="Z403" s="53">
        <v>300</v>
      </c>
      <c r="AA403" s="53">
        <v>50</v>
      </c>
    </row>
    <row r="404" spans="1:28" s="38" customFormat="1">
      <c r="A404" s="38" t="str">
        <f t="shared" si="120"/>
        <v>PhyType.NewNpcType_6011</v>
      </c>
      <c r="B404" s="38" t="s">
        <v>137</v>
      </c>
      <c r="C404" s="38">
        <v>6011</v>
      </c>
      <c r="D404" s="38">
        <v>6011</v>
      </c>
      <c r="E404" s="39"/>
      <c r="F404" s="39"/>
      <c r="G404" s="40" t="s">
        <v>255</v>
      </c>
      <c r="H404" s="40" t="s">
        <v>231</v>
      </c>
      <c r="I404" s="41">
        <v>0</v>
      </c>
      <c r="J404" s="40"/>
      <c r="K404" s="44">
        <f>INT(K428*0.7)</f>
        <v>14</v>
      </c>
      <c r="L404" s="44">
        <f>INT(L428*0.7)</f>
        <v>21</v>
      </c>
      <c r="M404" s="38">
        <f t="shared" si="118"/>
        <v>14</v>
      </c>
      <c r="N404" s="38">
        <f t="shared" si="119"/>
        <v>21</v>
      </c>
      <c r="O404" s="38">
        <v>0</v>
      </c>
      <c r="P404" s="38">
        <v>0</v>
      </c>
      <c r="Q404" s="38">
        <v>2</v>
      </c>
      <c r="R404" s="38">
        <v>2</v>
      </c>
      <c r="S404" s="38">
        <f>INT(Q404*1.5)</f>
        <v>3</v>
      </c>
      <c r="T404" s="38">
        <f>INT(R404*1.5)</f>
        <v>3</v>
      </c>
      <c r="U404" s="38">
        <v>1500</v>
      </c>
      <c r="V404" s="38">
        <v>1</v>
      </c>
      <c r="W404" s="38">
        <v>13</v>
      </c>
      <c r="X404" s="38">
        <v>10</v>
      </c>
      <c r="Y404" s="38">
        <v>75</v>
      </c>
      <c r="Z404" s="38">
        <v>300</v>
      </c>
      <c r="AA404" s="38">
        <v>50</v>
      </c>
      <c r="AB404" s="38">
        <v>10000</v>
      </c>
    </row>
    <row r="405" spans="1:28" s="38" customFormat="1">
      <c r="A405" s="38" t="str">
        <f t="shared" si="120"/>
        <v>PhyType.NewNpcType_6012</v>
      </c>
      <c r="B405" s="38" t="s">
        <v>137</v>
      </c>
      <c r="C405" s="38">
        <v>6012</v>
      </c>
      <c r="D405" s="38">
        <v>6012</v>
      </c>
      <c r="E405" s="39"/>
      <c r="F405" s="39"/>
      <c r="G405" s="40" t="s">
        <v>256</v>
      </c>
      <c r="H405" s="40" t="s">
        <v>231</v>
      </c>
      <c r="I405" s="41">
        <v>0</v>
      </c>
      <c r="J405" s="40"/>
      <c r="K405" s="44">
        <f t="shared" ref="K405:L409" si="128">INT(K429*0.7)</f>
        <v>18</v>
      </c>
      <c r="L405" s="44">
        <f t="shared" si="128"/>
        <v>27</v>
      </c>
      <c r="M405" s="38">
        <f t="shared" si="118"/>
        <v>18</v>
      </c>
      <c r="N405" s="38">
        <f t="shared" si="119"/>
        <v>27</v>
      </c>
      <c r="O405" s="38">
        <v>0</v>
      </c>
      <c r="P405" s="38">
        <v>0</v>
      </c>
      <c r="Q405" s="38">
        <v>4</v>
      </c>
      <c r="R405" s="38">
        <v>4</v>
      </c>
      <c r="S405" s="38">
        <f t="shared" ref="S405:S451" si="129">INT(Q405*1.5)</f>
        <v>6</v>
      </c>
      <c r="T405" s="38">
        <f t="shared" ref="T405:T451" si="130">INT(R405*1.5)</f>
        <v>6</v>
      </c>
      <c r="U405" s="38">
        <v>2000</v>
      </c>
      <c r="V405" s="38">
        <v>1</v>
      </c>
      <c r="W405" s="38">
        <v>15</v>
      </c>
      <c r="X405" s="38">
        <v>10</v>
      </c>
      <c r="Y405" s="38">
        <v>75</v>
      </c>
      <c r="Z405" s="38">
        <v>300</v>
      </c>
      <c r="AA405" s="38">
        <v>50</v>
      </c>
      <c r="AB405" s="38">
        <v>10000</v>
      </c>
    </row>
    <row r="406" spans="1:28" s="38" customFormat="1">
      <c r="A406" s="38" t="str">
        <f t="shared" si="120"/>
        <v>PhyType.NewNpcType_6013</v>
      </c>
      <c r="B406" s="38" t="s">
        <v>137</v>
      </c>
      <c r="C406" s="38">
        <v>6013</v>
      </c>
      <c r="D406" s="38">
        <v>6013</v>
      </c>
      <c r="E406" s="39"/>
      <c r="F406" s="39"/>
      <c r="G406" s="40" t="s">
        <v>257</v>
      </c>
      <c r="H406" s="40" t="s">
        <v>231</v>
      </c>
      <c r="I406" s="41">
        <v>0</v>
      </c>
      <c r="J406" s="40"/>
      <c r="K406" s="44">
        <f t="shared" si="128"/>
        <v>22</v>
      </c>
      <c r="L406" s="44">
        <f t="shared" si="128"/>
        <v>33</v>
      </c>
      <c r="M406" s="38">
        <f t="shared" si="118"/>
        <v>22</v>
      </c>
      <c r="N406" s="38">
        <f t="shared" si="119"/>
        <v>33</v>
      </c>
      <c r="O406" s="38">
        <v>0</v>
      </c>
      <c r="P406" s="38">
        <v>0</v>
      </c>
      <c r="Q406" s="38">
        <v>6</v>
      </c>
      <c r="R406" s="38">
        <v>6</v>
      </c>
      <c r="S406" s="38">
        <f t="shared" si="129"/>
        <v>9</v>
      </c>
      <c r="T406" s="38">
        <f t="shared" si="130"/>
        <v>9</v>
      </c>
      <c r="U406" s="38">
        <v>2500</v>
      </c>
      <c r="V406" s="38">
        <v>1</v>
      </c>
      <c r="W406" s="38">
        <v>17</v>
      </c>
      <c r="X406" s="38">
        <v>10</v>
      </c>
      <c r="Y406" s="38">
        <v>75</v>
      </c>
      <c r="Z406" s="38">
        <v>300</v>
      </c>
      <c r="AA406" s="38">
        <v>50</v>
      </c>
      <c r="AB406" s="38">
        <v>10000</v>
      </c>
    </row>
    <row r="407" spans="1:28" s="38" customFormat="1">
      <c r="A407" s="38" t="str">
        <f t="shared" si="120"/>
        <v>PhyType.NewNpcType_6014</v>
      </c>
      <c r="B407" s="38" t="s">
        <v>137</v>
      </c>
      <c r="C407" s="38">
        <v>6014</v>
      </c>
      <c r="D407" s="38">
        <v>6014</v>
      </c>
      <c r="E407" s="39"/>
      <c r="F407" s="39"/>
      <c r="G407" s="40" t="s">
        <v>258</v>
      </c>
      <c r="H407" s="40" t="s">
        <v>231</v>
      </c>
      <c r="I407" s="41">
        <v>0</v>
      </c>
      <c r="J407" s="40"/>
      <c r="K407" s="44">
        <f t="shared" si="128"/>
        <v>26</v>
      </c>
      <c r="L407" s="44">
        <f t="shared" si="128"/>
        <v>39</v>
      </c>
      <c r="M407" s="38">
        <f t="shared" si="118"/>
        <v>26</v>
      </c>
      <c r="N407" s="38">
        <f t="shared" si="119"/>
        <v>39</v>
      </c>
      <c r="O407" s="38">
        <v>0</v>
      </c>
      <c r="P407" s="38">
        <v>0</v>
      </c>
      <c r="Q407" s="38">
        <v>8</v>
      </c>
      <c r="R407" s="38">
        <v>8</v>
      </c>
      <c r="S407" s="38">
        <f t="shared" si="129"/>
        <v>12</v>
      </c>
      <c r="T407" s="38">
        <f t="shared" si="130"/>
        <v>12</v>
      </c>
      <c r="U407" s="38">
        <v>3000</v>
      </c>
      <c r="V407" s="38">
        <v>1</v>
      </c>
      <c r="W407" s="38">
        <v>19</v>
      </c>
      <c r="X407" s="38">
        <v>10</v>
      </c>
      <c r="Y407" s="38">
        <v>75</v>
      </c>
      <c r="Z407" s="38">
        <v>300</v>
      </c>
      <c r="AA407" s="38">
        <v>50</v>
      </c>
      <c r="AB407" s="38">
        <v>10000</v>
      </c>
    </row>
    <row r="408" spans="1:28" s="38" customFormat="1">
      <c r="A408" s="38" t="str">
        <f t="shared" si="120"/>
        <v>PhyType.NewNpcType_6015</v>
      </c>
      <c r="B408" s="38" t="s">
        <v>137</v>
      </c>
      <c r="C408" s="38">
        <v>6015</v>
      </c>
      <c r="D408" s="38">
        <v>6015</v>
      </c>
      <c r="E408" s="39"/>
      <c r="F408" s="39"/>
      <c r="G408" s="40" t="s">
        <v>259</v>
      </c>
      <c r="H408" s="40" t="s">
        <v>231</v>
      </c>
      <c r="I408" s="41">
        <v>0</v>
      </c>
      <c r="J408" s="40"/>
      <c r="K408" s="44">
        <f t="shared" si="128"/>
        <v>30</v>
      </c>
      <c r="L408" s="44">
        <f t="shared" si="128"/>
        <v>46</v>
      </c>
      <c r="M408" s="38">
        <f t="shared" si="118"/>
        <v>30</v>
      </c>
      <c r="N408" s="38">
        <f t="shared" si="119"/>
        <v>46</v>
      </c>
      <c r="O408" s="38">
        <v>0</v>
      </c>
      <c r="P408" s="38">
        <v>0</v>
      </c>
      <c r="Q408" s="38">
        <v>10</v>
      </c>
      <c r="R408" s="38">
        <v>10</v>
      </c>
      <c r="S408" s="38">
        <f t="shared" si="129"/>
        <v>15</v>
      </c>
      <c r="T408" s="38">
        <f t="shared" si="130"/>
        <v>15</v>
      </c>
      <c r="U408" s="38">
        <v>3500</v>
      </c>
      <c r="V408" s="38">
        <v>1</v>
      </c>
      <c r="W408" s="38">
        <v>21</v>
      </c>
      <c r="X408" s="38">
        <v>10</v>
      </c>
      <c r="Y408" s="38">
        <v>75</v>
      </c>
      <c r="Z408" s="38">
        <v>300</v>
      </c>
      <c r="AA408" s="38">
        <v>50</v>
      </c>
      <c r="AB408" s="38">
        <v>10000</v>
      </c>
    </row>
    <row r="409" spans="1:28" s="38" customFormat="1">
      <c r="A409" s="38" t="str">
        <f t="shared" si="120"/>
        <v>PhyType.NewNpcType_6016</v>
      </c>
      <c r="B409" s="38" t="s">
        <v>137</v>
      </c>
      <c r="C409" s="38">
        <v>6016</v>
      </c>
      <c r="D409" s="38">
        <v>6016</v>
      </c>
      <c r="E409" s="39"/>
      <c r="F409" s="39"/>
      <c r="G409" s="40" t="s">
        <v>260</v>
      </c>
      <c r="H409" s="40" t="s">
        <v>231</v>
      </c>
      <c r="I409" s="41">
        <v>0</v>
      </c>
      <c r="J409" s="40"/>
      <c r="K409" s="44">
        <f t="shared" si="128"/>
        <v>35</v>
      </c>
      <c r="L409" s="44">
        <f t="shared" si="128"/>
        <v>52</v>
      </c>
      <c r="M409" s="38">
        <f t="shared" si="118"/>
        <v>35</v>
      </c>
      <c r="N409" s="38">
        <f t="shared" si="119"/>
        <v>52</v>
      </c>
      <c r="O409" s="38">
        <v>0</v>
      </c>
      <c r="P409" s="38">
        <v>0</v>
      </c>
      <c r="Q409" s="38">
        <v>12</v>
      </c>
      <c r="R409" s="38">
        <v>12</v>
      </c>
      <c r="S409" s="38">
        <f t="shared" si="129"/>
        <v>18</v>
      </c>
      <c r="T409" s="38">
        <f t="shared" si="130"/>
        <v>18</v>
      </c>
      <c r="U409" s="38">
        <v>4000</v>
      </c>
      <c r="V409" s="38">
        <v>1</v>
      </c>
      <c r="W409" s="38">
        <v>23</v>
      </c>
      <c r="X409" s="38">
        <v>10</v>
      </c>
      <c r="Y409" s="38">
        <v>75</v>
      </c>
      <c r="Z409" s="38">
        <v>300</v>
      </c>
      <c r="AA409" s="38">
        <v>50</v>
      </c>
      <c r="AB409" s="38">
        <v>10000</v>
      </c>
    </row>
    <row r="410" spans="1:28" s="38" customFormat="1">
      <c r="A410" s="38" t="str">
        <f t="shared" si="120"/>
        <v>PhyType.NewNpcType_6021</v>
      </c>
      <c r="B410" s="38" t="s">
        <v>137</v>
      </c>
      <c r="C410" s="38">
        <v>6021</v>
      </c>
      <c r="D410" s="38">
        <v>6021</v>
      </c>
      <c r="E410" s="39"/>
      <c r="F410" s="39"/>
      <c r="G410" s="40" t="s">
        <v>261</v>
      </c>
      <c r="H410" s="40" t="s">
        <v>231</v>
      </c>
      <c r="I410" s="41">
        <v>0</v>
      </c>
      <c r="J410" s="40"/>
      <c r="K410" s="46">
        <f>INT(K428*1.3)</f>
        <v>26</v>
      </c>
      <c r="L410" s="46">
        <f>INT(L428*1.3)</f>
        <v>39</v>
      </c>
      <c r="M410" s="38">
        <f t="shared" si="118"/>
        <v>26</v>
      </c>
      <c r="N410" s="38">
        <f t="shared" si="119"/>
        <v>39</v>
      </c>
      <c r="O410" s="38">
        <v>0</v>
      </c>
      <c r="P410" s="38">
        <v>0</v>
      </c>
      <c r="Q410" s="38">
        <v>2</v>
      </c>
      <c r="R410" s="38">
        <v>2</v>
      </c>
      <c r="S410" s="38">
        <f t="shared" si="129"/>
        <v>3</v>
      </c>
      <c r="T410" s="38">
        <f t="shared" si="130"/>
        <v>3</v>
      </c>
      <c r="U410" s="38">
        <v>1500</v>
      </c>
      <c r="V410" s="38">
        <v>1</v>
      </c>
      <c r="W410" s="38">
        <v>13</v>
      </c>
      <c r="X410" s="38">
        <v>10</v>
      </c>
      <c r="Y410" s="38">
        <v>75</v>
      </c>
      <c r="Z410" s="38">
        <v>300</v>
      </c>
      <c r="AA410" s="38">
        <v>50</v>
      </c>
      <c r="AB410" s="38">
        <v>10000</v>
      </c>
    </row>
    <row r="411" spans="1:28" s="38" customFormat="1">
      <c r="A411" s="38" t="str">
        <f t="shared" si="120"/>
        <v>PhyType.NewNpcType_6022</v>
      </c>
      <c r="B411" s="38" t="s">
        <v>137</v>
      </c>
      <c r="C411" s="38">
        <v>6022</v>
      </c>
      <c r="D411" s="38">
        <v>6022</v>
      </c>
      <c r="E411" s="39"/>
      <c r="F411" s="39"/>
      <c r="G411" s="40" t="s">
        <v>262</v>
      </c>
      <c r="H411" s="40" t="s">
        <v>231</v>
      </c>
      <c r="I411" s="41">
        <v>0</v>
      </c>
      <c r="J411" s="40"/>
      <c r="K411" s="46">
        <f t="shared" ref="K411:L411" si="131">INT(K429*1.3)</f>
        <v>33</v>
      </c>
      <c r="L411" s="46">
        <f t="shared" si="131"/>
        <v>50</v>
      </c>
      <c r="M411" s="38">
        <f t="shared" si="118"/>
        <v>33</v>
      </c>
      <c r="N411" s="38">
        <f t="shared" si="119"/>
        <v>50</v>
      </c>
      <c r="O411" s="38">
        <v>0</v>
      </c>
      <c r="P411" s="38">
        <v>0</v>
      </c>
      <c r="Q411" s="38">
        <v>4</v>
      </c>
      <c r="R411" s="38">
        <v>4</v>
      </c>
      <c r="S411" s="38">
        <f t="shared" si="129"/>
        <v>6</v>
      </c>
      <c r="T411" s="38">
        <f t="shared" si="130"/>
        <v>6</v>
      </c>
      <c r="U411" s="38">
        <v>2000</v>
      </c>
      <c r="V411" s="38">
        <v>1</v>
      </c>
      <c r="W411" s="38">
        <v>15</v>
      </c>
      <c r="X411" s="38">
        <v>10</v>
      </c>
      <c r="Y411" s="38">
        <v>75</v>
      </c>
      <c r="Z411" s="38">
        <v>300</v>
      </c>
      <c r="AA411" s="38">
        <v>50</v>
      </c>
      <c r="AB411" s="38">
        <v>10000</v>
      </c>
    </row>
    <row r="412" spans="1:28" s="38" customFormat="1">
      <c r="A412" s="38" t="str">
        <f t="shared" si="120"/>
        <v>PhyType.NewNpcType_6023</v>
      </c>
      <c r="B412" s="38" t="s">
        <v>137</v>
      </c>
      <c r="C412" s="38">
        <v>6023</v>
      </c>
      <c r="D412" s="38">
        <v>6023</v>
      </c>
      <c r="E412" s="39"/>
      <c r="F412" s="39"/>
      <c r="G412" s="40" t="s">
        <v>263</v>
      </c>
      <c r="H412" s="40" t="s">
        <v>231</v>
      </c>
      <c r="I412" s="41">
        <v>0</v>
      </c>
      <c r="J412" s="40"/>
      <c r="K412" s="46">
        <f t="shared" ref="K412:L412" si="132">INT(K430*1.3)</f>
        <v>41</v>
      </c>
      <c r="L412" s="46">
        <f t="shared" si="132"/>
        <v>62</v>
      </c>
      <c r="M412" s="38">
        <f t="shared" si="118"/>
        <v>41</v>
      </c>
      <c r="N412" s="38">
        <f t="shared" si="119"/>
        <v>62</v>
      </c>
      <c r="O412" s="38">
        <v>0</v>
      </c>
      <c r="P412" s="38">
        <v>0</v>
      </c>
      <c r="Q412" s="38">
        <v>6</v>
      </c>
      <c r="R412" s="38">
        <v>6</v>
      </c>
      <c r="S412" s="38">
        <f t="shared" si="129"/>
        <v>9</v>
      </c>
      <c r="T412" s="38">
        <f t="shared" si="130"/>
        <v>9</v>
      </c>
      <c r="U412" s="38">
        <v>2500</v>
      </c>
      <c r="V412" s="38">
        <v>1</v>
      </c>
      <c r="W412" s="38">
        <v>17</v>
      </c>
      <c r="X412" s="38">
        <v>10</v>
      </c>
      <c r="Y412" s="38">
        <v>75</v>
      </c>
      <c r="Z412" s="38">
        <v>300</v>
      </c>
      <c r="AA412" s="38">
        <v>50</v>
      </c>
      <c r="AB412" s="38">
        <v>10000</v>
      </c>
    </row>
    <row r="413" spans="1:28" s="38" customFormat="1">
      <c r="A413" s="38" t="str">
        <f t="shared" si="120"/>
        <v>PhyType.NewNpcType_6024</v>
      </c>
      <c r="B413" s="38" t="s">
        <v>137</v>
      </c>
      <c r="C413" s="38">
        <v>6024</v>
      </c>
      <c r="D413" s="38">
        <v>6024</v>
      </c>
      <c r="E413" s="39"/>
      <c r="F413" s="39"/>
      <c r="G413" s="40" t="s">
        <v>264</v>
      </c>
      <c r="H413" s="40" t="s">
        <v>231</v>
      </c>
      <c r="I413" s="41">
        <v>0</v>
      </c>
      <c r="J413" s="40"/>
      <c r="K413" s="46">
        <f t="shared" ref="K413:L413" si="133">INT(K431*1.3)</f>
        <v>49</v>
      </c>
      <c r="L413" s="46">
        <f t="shared" si="133"/>
        <v>74</v>
      </c>
      <c r="M413" s="38">
        <f t="shared" si="118"/>
        <v>49</v>
      </c>
      <c r="N413" s="38">
        <f t="shared" si="119"/>
        <v>74</v>
      </c>
      <c r="O413" s="38">
        <v>0</v>
      </c>
      <c r="P413" s="38">
        <v>0</v>
      </c>
      <c r="Q413" s="38">
        <v>8</v>
      </c>
      <c r="R413" s="38">
        <v>8</v>
      </c>
      <c r="S413" s="38">
        <f t="shared" si="129"/>
        <v>12</v>
      </c>
      <c r="T413" s="38">
        <f t="shared" si="130"/>
        <v>12</v>
      </c>
      <c r="U413" s="38">
        <v>3000</v>
      </c>
      <c r="V413" s="38">
        <v>1</v>
      </c>
      <c r="W413" s="38">
        <v>19</v>
      </c>
      <c r="X413" s="38">
        <v>10</v>
      </c>
      <c r="Y413" s="38">
        <v>75</v>
      </c>
      <c r="Z413" s="38">
        <v>300</v>
      </c>
      <c r="AA413" s="38">
        <v>50</v>
      </c>
      <c r="AB413" s="38">
        <v>10000</v>
      </c>
    </row>
    <row r="414" spans="1:28" s="38" customFormat="1">
      <c r="A414" s="38" t="str">
        <f t="shared" si="120"/>
        <v>PhyType.NewNpcType_6025</v>
      </c>
      <c r="B414" s="38" t="s">
        <v>137</v>
      </c>
      <c r="C414" s="38">
        <v>6025</v>
      </c>
      <c r="D414" s="38">
        <v>6025</v>
      </c>
      <c r="E414" s="39"/>
      <c r="F414" s="39"/>
      <c r="G414" s="40" t="s">
        <v>265</v>
      </c>
      <c r="H414" s="40" t="s">
        <v>231</v>
      </c>
      <c r="I414" s="41">
        <v>0</v>
      </c>
      <c r="J414" s="40"/>
      <c r="K414" s="46">
        <f t="shared" ref="K414:L414" si="134">INT(K432*1.3)</f>
        <v>57</v>
      </c>
      <c r="L414" s="46">
        <f t="shared" si="134"/>
        <v>85</v>
      </c>
      <c r="M414" s="38">
        <f t="shared" si="118"/>
        <v>57</v>
      </c>
      <c r="N414" s="38">
        <f t="shared" si="119"/>
        <v>85</v>
      </c>
      <c r="O414" s="38">
        <v>0</v>
      </c>
      <c r="P414" s="38">
        <v>0</v>
      </c>
      <c r="Q414" s="38">
        <v>10</v>
      </c>
      <c r="R414" s="38">
        <v>10</v>
      </c>
      <c r="S414" s="38">
        <f t="shared" si="129"/>
        <v>15</v>
      </c>
      <c r="T414" s="38">
        <f t="shared" si="130"/>
        <v>15</v>
      </c>
      <c r="U414" s="38">
        <v>3500</v>
      </c>
      <c r="V414" s="38">
        <v>1</v>
      </c>
      <c r="W414" s="38">
        <v>21</v>
      </c>
      <c r="X414" s="38">
        <v>10</v>
      </c>
      <c r="Y414" s="38">
        <v>75</v>
      </c>
      <c r="Z414" s="38">
        <v>300</v>
      </c>
      <c r="AA414" s="38">
        <v>50</v>
      </c>
      <c r="AB414" s="38">
        <v>10000</v>
      </c>
    </row>
    <row r="415" spans="1:28" s="38" customFormat="1">
      <c r="A415" s="38" t="str">
        <f t="shared" si="120"/>
        <v>PhyType.NewNpcType_6026</v>
      </c>
      <c r="B415" s="38" t="s">
        <v>137</v>
      </c>
      <c r="C415" s="38">
        <v>6026</v>
      </c>
      <c r="D415" s="38">
        <v>6026</v>
      </c>
      <c r="E415" s="39"/>
      <c r="F415" s="39"/>
      <c r="G415" s="40" t="s">
        <v>266</v>
      </c>
      <c r="H415" s="40" t="s">
        <v>231</v>
      </c>
      <c r="I415" s="41">
        <v>0</v>
      </c>
      <c r="J415" s="40"/>
      <c r="K415" s="46">
        <f t="shared" ref="K415:L415" si="135">INT(K433*1.3)</f>
        <v>65</v>
      </c>
      <c r="L415" s="46">
        <f t="shared" si="135"/>
        <v>97</v>
      </c>
      <c r="M415" s="38">
        <f t="shared" si="118"/>
        <v>65</v>
      </c>
      <c r="N415" s="38">
        <f t="shared" si="119"/>
        <v>97</v>
      </c>
      <c r="O415" s="38">
        <v>0</v>
      </c>
      <c r="P415" s="38">
        <v>0</v>
      </c>
      <c r="Q415" s="38">
        <v>12</v>
      </c>
      <c r="R415" s="38">
        <v>12</v>
      </c>
      <c r="S415" s="38">
        <f t="shared" si="129"/>
        <v>18</v>
      </c>
      <c r="T415" s="38">
        <f t="shared" si="130"/>
        <v>18</v>
      </c>
      <c r="U415" s="38">
        <v>4000</v>
      </c>
      <c r="V415" s="38">
        <v>1</v>
      </c>
      <c r="W415" s="38">
        <v>23</v>
      </c>
      <c r="X415" s="38">
        <v>10</v>
      </c>
      <c r="Y415" s="38">
        <v>75</v>
      </c>
      <c r="Z415" s="38">
        <v>300</v>
      </c>
      <c r="AA415" s="38">
        <v>50</v>
      </c>
      <c r="AB415" s="38">
        <v>10000</v>
      </c>
    </row>
    <row r="416" spans="1:28" s="38" customFormat="1">
      <c r="A416" s="38" t="str">
        <f t="shared" si="120"/>
        <v>PhyType.NewNpcType_6031</v>
      </c>
      <c r="B416" s="38" t="s">
        <v>137</v>
      </c>
      <c r="C416" s="38">
        <v>6031</v>
      </c>
      <c r="D416" s="38">
        <v>6031</v>
      </c>
      <c r="E416" s="39"/>
      <c r="F416" s="39"/>
      <c r="G416" s="40" t="s">
        <v>267</v>
      </c>
      <c r="H416" s="40" t="s">
        <v>231</v>
      </c>
      <c r="I416" s="41">
        <v>0</v>
      </c>
      <c r="J416" s="40"/>
      <c r="K416" s="45">
        <f>INT(K428*1.4)</f>
        <v>28</v>
      </c>
      <c r="L416" s="45">
        <f>INT(L428*1.4)</f>
        <v>42</v>
      </c>
      <c r="M416" s="38">
        <f t="shared" si="118"/>
        <v>28</v>
      </c>
      <c r="N416" s="38">
        <f t="shared" si="119"/>
        <v>42</v>
      </c>
      <c r="O416" s="38">
        <v>0</v>
      </c>
      <c r="P416" s="38">
        <v>0</v>
      </c>
      <c r="Q416" s="38">
        <v>2</v>
      </c>
      <c r="R416" s="38">
        <v>2</v>
      </c>
      <c r="S416" s="38">
        <f t="shared" si="129"/>
        <v>3</v>
      </c>
      <c r="T416" s="38">
        <f t="shared" si="130"/>
        <v>3</v>
      </c>
      <c r="U416" s="38">
        <v>1500</v>
      </c>
      <c r="V416" s="38">
        <v>1</v>
      </c>
      <c r="W416" s="38">
        <v>13</v>
      </c>
      <c r="X416" s="38">
        <v>10</v>
      </c>
      <c r="Y416" s="38">
        <v>75</v>
      </c>
      <c r="Z416" s="38">
        <v>300</v>
      </c>
      <c r="AA416" s="38">
        <v>50</v>
      </c>
      <c r="AB416" s="38">
        <v>10000</v>
      </c>
    </row>
    <row r="417" spans="1:28" s="38" customFormat="1">
      <c r="A417" s="38" t="str">
        <f t="shared" si="120"/>
        <v>PhyType.NewNpcType_6032</v>
      </c>
      <c r="B417" s="38" t="s">
        <v>137</v>
      </c>
      <c r="C417" s="38">
        <v>6032</v>
      </c>
      <c r="D417" s="38">
        <v>6032</v>
      </c>
      <c r="E417" s="39"/>
      <c r="F417" s="39"/>
      <c r="G417" s="40" t="s">
        <v>268</v>
      </c>
      <c r="H417" s="40" t="s">
        <v>231</v>
      </c>
      <c r="I417" s="41">
        <v>0</v>
      </c>
      <c r="J417" s="40"/>
      <c r="K417" s="45">
        <f t="shared" ref="K417:L417" si="136">INT(K429*1.4)</f>
        <v>36</v>
      </c>
      <c r="L417" s="45">
        <f t="shared" si="136"/>
        <v>54</v>
      </c>
      <c r="M417" s="38">
        <f t="shared" si="118"/>
        <v>36</v>
      </c>
      <c r="N417" s="38">
        <f t="shared" si="119"/>
        <v>54</v>
      </c>
      <c r="O417" s="38">
        <v>0</v>
      </c>
      <c r="P417" s="38">
        <v>0</v>
      </c>
      <c r="Q417" s="38">
        <v>4</v>
      </c>
      <c r="R417" s="38">
        <v>4</v>
      </c>
      <c r="S417" s="38">
        <f t="shared" si="129"/>
        <v>6</v>
      </c>
      <c r="T417" s="38">
        <f t="shared" si="130"/>
        <v>6</v>
      </c>
      <c r="U417" s="38">
        <v>2000</v>
      </c>
      <c r="V417" s="38">
        <v>1</v>
      </c>
      <c r="W417" s="38">
        <v>15</v>
      </c>
      <c r="X417" s="38">
        <v>10</v>
      </c>
      <c r="Y417" s="38">
        <v>75</v>
      </c>
      <c r="Z417" s="38">
        <v>300</v>
      </c>
      <c r="AA417" s="38">
        <v>50</v>
      </c>
      <c r="AB417" s="38">
        <v>10000</v>
      </c>
    </row>
    <row r="418" spans="1:28" s="38" customFormat="1">
      <c r="A418" s="38" t="str">
        <f t="shared" si="120"/>
        <v>PhyType.NewNpcType_6033</v>
      </c>
      <c r="B418" s="38" t="s">
        <v>137</v>
      </c>
      <c r="C418" s="38">
        <v>6033</v>
      </c>
      <c r="D418" s="38">
        <v>6033</v>
      </c>
      <c r="E418" s="39"/>
      <c r="F418" s="39"/>
      <c r="G418" s="40" t="s">
        <v>269</v>
      </c>
      <c r="H418" s="40" t="s">
        <v>231</v>
      </c>
      <c r="I418" s="41">
        <v>0</v>
      </c>
      <c r="J418" s="40"/>
      <c r="K418" s="45">
        <f t="shared" ref="K418:L418" si="137">INT(K430*1.4)</f>
        <v>44</v>
      </c>
      <c r="L418" s="45">
        <f t="shared" si="137"/>
        <v>67</v>
      </c>
      <c r="M418" s="38">
        <f t="shared" si="118"/>
        <v>44</v>
      </c>
      <c r="N418" s="38">
        <f t="shared" si="119"/>
        <v>67</v>
      </c>
      <c r="O418" s="38">
        <v>0</v>
      </c>
      <c r="P418" s="38">
        <v>0</v>
      </c>
      <c r="Q418" s="38">
        <v>6</v>
      </c>
      <c r="R418" s="38">
        <v>6</v>
      </c>
      <c r="S418" s="38">
        <f t="shared" si="129"/>
        <v>9</v>
      </c>
      <c r="T418" s="38">
        <f t="shared" si="130"/>
        <v>9</v>
      </c>
      <c r="U418" s="38">
        <v>2500</v>
      </c>
      <c r="V418" s="38">
        <v>1</v>
      </c>
      <c r="W418" s="38">
        <v>17</v>
      </c>
      <c r="X418" s="38">
        <v>10</v>
      </c>
      <c r="Y418" s="38">
        <v>75</v>
      </c>
      <c r="Z418" s="38">
        <v>300</v>
      </c>
      <c r="AA418" s="38">
        <v>50</v>
      </c>
      <c r="AB418" s="38">
        <v>10000</v>
      </c>
    </row>
    <row r="419" spans="1:28" s="38" customFormat="1">
      <c r="A419" s="38" t="str">
        <f t="shared" si="120"/>
        <v>PhyType.NewNpcType_6034</v>
      </c>
      <c r="B419" s="38" t="s">
        <v>137</v>
      </c>
      <c r="C419" s="38">
        <v>6034</v>
      </c>
      <c r="D419" s="38">
        <v>6034</v>
      </c>
      <c r="E419" s="39"/>
      <c r="F419" s="39"/>
      <c r="G419" s="40" t="s">
        <v>270</v>
      </c>
      <c r="H419" s="40" t="s">
        <v>231</v>
      </c>
      <c r="I419" s="41">
        <v>0</v>
      </c>
      <c r="J419" s="40"/>
      <c r="K419" s="45">
        <f t="shared" ref="K419:L419" si="138">INT(K431*1.4)</f>
        <v>53</v>
      </c>
      <c r="L419" s="45">
        <f t="shared" si="138"/>
        <v>79</v>
      </c>
      <c r="M419" s="38">
        <f t="shared" si="118"/>
        <v>53</v>
      </c>
      <c r="N419" s="38">
        <f t="shared" si="119"/>
        <v>79</v>
      </c>
      <c r="O419" s="38">
        <v>0</v>
      </c>
      <c r="P419" s="38">
        <v>0</v>
      </c>
      <c r="Q419" s="38">
        <v>8</v>
      </c>
      <c r="R419" s="38">
        <v>8</v>
      </c>
      <c r="S419" s="38">
        <f t="shared" si="129"/>
        <v>12</v>
      </c>
      <c r="T419" s="38">
        <f t="shared" si="130"/>
        <v>12</v>
      </c>
      <c r="U419" s="38">
        <v>3000</v>
      </c>
      <c r="V419" s="38">
        <v>1</v>
      </c>
      <c r="W419" s="38">
        <v>19</v>
      </c>
      <c r="X419" s="38">
        <v>10</v>
      </c>
      <c r="Y419" s="38">
        <v>75</v>
      </c>
      <c r="Z419" s="38">
        <v>300</v>
      </c>
      <c r="AA419" s="38">
        <v>50</v>
      </c>
      <c r="AB419" s="38">
        <v>10000</v>
      </c>
    </row>
    <row r="420" spans="1:28" s="38" customFormat="1">
      <c r="A420" s="38" t="str">
        <f t="shared" si="120"/>
        <v>PhyType.NewNpcType_6035</v>
      </c>
      <c r="B420" s="38" t="s">
        <v>137</v>
      </c>
      <c r="C420" s="38">
        <v>6035</v>
      </c>
      <c r="D420" s="38">
        <v>6035</v>
      </c>
      <c r="E420" s="39"/>
      <c r="F420" s="39"/>
      <c r="G420" s="40" t="s">
        <v>271</v>
      </c>
      <c r="H420" s="40" t="s">
        <v>231</v>
      </c>
      <c r="I420" s="41">
        <v>0</v>
      </c>
      <c r="J420" s="40"/>
      <c r="K420" s="45">
        <f t="shared" ref="K420:L420" si="139">INT(K432*1.4)</f>
        <v>61</v>
      </c>
      <c r="L420" s="45">
        <f t="shared" si="139"/>
        <v>92</v>
      </c>
      <c r="M420" s="38">
        <f t="shared" si="118"/>
        <v>61</v>
      </c>
      <c r="N420" s="38">
        <f t="shared" si="119"/>
        <v>92</v>
      </c>
      <c r="O420" s="38">
        <v>0</v>
      </c>
      <c r="P420" s="38">
        <v>0</v>
      </c>
      <c r="Q420" s="38">
        <v>10</v>
      </c>
      <c r="R420" s="38">
        <v>10</v>
      </c>
      <c r="S420" s="38">
        <f t="shared" si="129"/>
        <v>15</v>
      </c>
      <c r="T420" s="38">
        <f t="shared" si="130"/>
        <v>15</v>
      </c>
      <c r="U420" s="38">
        <v>3500</v>
      </c>
      <c r="V420" s="38">
        <v>1</v>
      </c>
      <c r="W420" s="38">
        <v>21</v>
      </c>
      <c r="X420" s="38">
        <v>10</v>
      </c>
      <c r="Y420" s="38">
        <v>75</v>
      </c>
      <c r="Z420" s="38">
        <v>300</v>
      </c>
      <c r="AA420" s="38">
        <v>50</v>
      </c>
      <c r="AB420" s="38">
        <v>10000</v>
      </c>
    </row>
    <row r="421" spans="1:28" s="38" customFormat="1">
      <c r="A421" s="38" t="str">
        <f t="shared" si="120"/>
        <v>PhyType.NewNpcType_6036</v>
      </c>
      <c r="B421" s="38" t="s">
        <v>137</v>
      </c>
      <c r="C421" s="38">
        <v>6036</v>
      </c>
      <c r="D421" s="38">
        <v>6036</v>
      </c>
      <c r="E421" s="39"/>
      <c r="F421" s="39"/>
      <c r="G421" s="40" t="s">
        <v>272</v>
      </c>
      <c r="H421" s="40" t="s">
        <v>231</v>
      </c>
      <c r="I421" s="41">
        <v>0</v>
      </c>
      <c r="J421" s="40"/>
      <c r="K421" s="45">
        <f t="shared" ref="K421:L421" si="140">INT(K433*1.4)</f>
        <v>70</v>
      </c>
      <c r="L421" s="45">
        <f t="shared" si="140"/>
        <v>105</v>
      </c>
      <c r="M421" s="38">
        <f t="shared" si="118"/>
        <v>70</v>
      </c>
      <c r="N421" s="38">
        <f t="shared" si="119"/>
        <v>105</v>
      </c>
      <c r="O421" s="38">
        <v>0</v>
      </c>
      <c r="P421" s="38">
        <v>0</v>
      </c>
      <c r="Q421" s="38">
        <v>12</v>
      </c>
      <c r="R421" s="38">
        <v>12</v>
      </c>
      <c r="S421" s="38">
        <f t="shared" si="129"/>
        <v>18</v>
      </c>
      <c r="T421" s="38">
        <f t="shared" si="130"/>
        <v>18</v>
      </c>
      <c r="U421" s="38">
        <v>4000</v>
      </c>
      <c r="V421" s="38">
        <v>1</v>
      </c>
      <c r="W421" s="38">
        <v>23</v>
      </c>
      <c r="X421" s="38">
        <v>10</v>
      </c>
      <c r="Y421" s="38">
        <v>75</v>
      </c>
      <c r="Z421" s="38">
        <v>300</v>
      </c>
      <c r="AA421" s="38">
        <v>50</v>
      </c>
      <c r="AB421" s="38">
        <v>10000</v>
      </c>
    </row>
    <row r="422" spans="1:28" s="38" customFormat="1">
      <c r="A422" s="38" t="str">
        <f t="shared" si="120"/>
        <v>PhyType.NewNpcType_6041</v>
      </c>
      <c r="B422" s="38" t="s">
        <v>137</v>
      </c>
      <c r="C422" s="38">
        <v>6041</v>
      </c>
      <c r="D422" s="38">
        <v>6041</v>
      </c>
      <c r="E422" s="39"/>
      <c r="F422" s="39"/>
      <c r="G422" s="40" t="s">
        <v>273</v>
      </c>
      <c r="H422" s="40" t="s">
        <v>231</v>
      </c>
      <c r="I422" s="41">
        <v>0</v>
      </c>
      <c r="J422" s="40"/>
      <c r="K422" s="43">
        <f>INT(K428*0.8)</f>
        <v>16</v>
      </c>
      <c r="L422" s="43">
        <f>INT(L428*0.8)</f>
        <v>24</v>
      </c>
      <c r="M422" s="38">
        <f t="shared" si="118"/>
        <v>16</v>
      </c>
      <c r="N422" s="38">
        <f t="shared" si="119"/>
        <v>24</v>
      </c>
      <c r="O422" s="38">
        <v>0</v>
      </c>
      <c r="P422" s="38">
        <v>0</v>
      </c>
      <c r="Q422" s="38">
        <v>2</v>
      </c>
      <c r="R422" s="38">
        <v>2</v>
      </c>
      <c r="S422" s="38">
        <f t="shared" si="129"/>
        <v>3</v>
      </c>
      <c r="T422" s="38">
        <f t="shared" si="130"/>
        <v>3</v>
      </c>
      <c r="U422" s="38">
        <v>1500</v>
      </c>
      <c r="V422" s="38">
        <v>1</v>
      </c>
      <c r="W422" s="38">
        <v>13</v>
      </c>
      <c r="X422" s="38">
        <v>10</v>
      </c>
      <c r="Y422" s="38">
        <v>75</v>
      </c>
      <c r="Z422" s="38">
        <v>300</v>
      </c>
      <c r="AA422" s="38">
        <v>50</v>
      </c>
      <c r="AB422" s="38">
        <v>10000</v>
      </c>
    </row>
    <row r="423" spans="1:28" s="38" customFormat="1">
      <c r="A423" s="38" t="str">
        <f t="shared" si="120"/>
        <v>PhyType.NewNpcType_6042</v>
      </c>
      <c r="B423" s="38" t="s">
        <v>137</v>
      </c>
      <c r="C423" s="38">
        <v>6042</v>
      </c>
      <c r="D423" s="38">
        <v>6042</v>
      </c>
      <c r="E423" s="39"/>
      <c r="F423" s="39"/>
      <c r="G423" s="40" t="s">
        <v>274</v>
      </c>
      <c r="H423" s="40" t="s">
        <v>231</v>
      </c>
      <c r="I423" s="41">
        <v>0</v>
      </c>
      <c r="J423" s="40"/>
      <c r="K423" s="43">
        <f t="shared" ref="K423:L423" si="141">INT(K429*0.8)</f>
        <v>20</v>
      </c>
      <c r="L423" s="43">
        <f t="shared" si="141"/>
        <v>31</v>
      </c>
      <c r="M423" s="38">
        <f t="shared" si="118"/>
        <v>20</v>
      </c>
      <c r="N423" s="38">
        <f t="shared" si="119"/>
        <v>31</v>
      </c>
      <c r="O423" s="38">
        <v>0</v>
      </c>
      <c r="P423" s="38">
        <v>0</v>
      </c>
      <c r="Q423" s="38">
        <v>4</v>
      </c>
      <c r="R423" s="38">
        <v>4</v>
      </c>
      <c r="S423" s="38">
        <f t="shared" si="129"/>
        <v>6</v>
      </c>
      <c r="T423" s="38">
        <f t="shared" si="130"/>
        <v>6</v>
      </c>
      <c r="U423" s="38">
        <v>2000</v>
      </c>
      <c r="V423" s="38">
        <v>1</v>
      </c>
      <c r="W423" s="38">
        <v>15</v>
      </c>
      <c r="X423" s="38">
        <v>10</v>
      </c>
      <c r="Y423" s="38">
        <v>75</v>
      </c>
      <c r="Z423" s="38">
        <v>300</v>
      </c>
      <c r="AA423" s="38">
        <v>50</v>
      </c>
      <c r="AB423" s="38">
        <v>10000</v>
      </c>
    </row>
    <row r="424" spans="1:28" s="38" customFormat="1">
      <c r="A424" s="38" t="str">
        <f t="shared" si="120"/>
        <v>PhyType.NewNpcType_6043</v>
      </c>
      <c r="B424" s="38" t="s">
        <v>137</v>
      </c>
      <c r="C424" s="38">
        <v>6043</v>
      </c>
      <c r="D424" s="38">
        <v>6043</v>
      </c>
      <c r="E424" s="39"/>
      <c r="F424" s="39"/>
      <c r="G424" s="40" t="s">
        <v>275</v>
      </c>
      <c r="H424" s="40" t="s">
        <v>231</v>
      </c>
      <c r="I424" s="41">
        <v>0</v>
      </c>
      <c r="J424" s="40"/>
      <c r="K424" s="43">
        <f t="shared" ref="K424:L424" si="142">INT(K430*0.8)</f>
        <v>25</v>
      </c>
      <c r="L424" s="43">
        <f t="shared" si="142"/>
        <v>38</v>
      </c>
      <c r="M424" s="38">
        <f t="shared" si="118"/>
        <v>25</v>
      </c>
      <c r="N424" s="38">
        <f t="shared" si="119"/>
        <v>38</v>
      </c>
      <c r="O424" s="38">
        <v>0</v>
      </c>
      <c r="P424" s="38">
        <v>0</v>
      </c>
      <c r="Q424" s="38">
        <v>6</v>
      </c>
      <c r="R424" s="38">
        <v>6</v>
      </c>
      <c r="S424" s="38">
        <f t="shared" si="129"/>
        <v>9</v>
      </c>
      <c r="T424" s="38">
        <f t="shared" si="130"/>
        <v>9</v>
      </c>
      <c r="U424" s="38">
        <v>2500</v>
      </c>
      <c r="V424" s="38">
        <v>1</v>
      </c>
      <c r="W424" s="38">
        <v>17</v>
      </c>
      <c r="X424" s="38">
        <v>10</v>
      </c>
      <c r="Y424" s="38">
        <v>75</v>
      </c>
      <c r="Z424" s="38">
        <v>300</v>
      </c>
      <c r="AA424" s="38">
        <v>50</v>
      </c>
      <c r="AB424" s="38">
        <v>10000</v>
      </c>
    </row>
    <row r="425" spans="1:28" s="38" customFormat="1">
      <c r="A425" s="38" t="str">
        <f t="shared" si="120"/>
        <v>PhyType.NewNpcType_6044</v>
      </c>
      <c r="B425" s="38" t="s">
        <v>137</v>
      </c>
      <c r="C425" s="38">
        <v>6044</v>
      </c>
      <c r="D425" s="38">
        <v>6044</v>
      </c>
      <c r="E425" s="39"/>
      <c r="F425" s="39"/>
      <c r="G425" s="40" t="s">
        <v>276</v>
      </c>
      <c r="H425" s="40" t="s">
        <v>231</v>
      </c>
      <c r="I425" s="41">
        <v>0</v>
      </c>
      <c r="J425" s="40"/>
      <c r="K425" s="43">
        <f t="shared" ref="K425:L425" si="143">INT(K431*0.8)</f>
        <v>30</v>
      </c>
      <c r="L425" s="43">
        <f t="shared" si="143"/>
        <v>45</v>
      </c>
      <c r="M425" s="38">
        <f t="shared" si="118"/>
        <v>30</v>
      </c>
      <c r="N425" s="38">
        <f t="shared" si="119"/>
        <v>45</v>
      </c>
      <c r="O425" s="38">
        <v>0</v>
      </c>
      <c r="P425" s="38">
        <v>0</v>
      </c>
      <c r="Q425" s="38">
        <v>8</v>
      </c>
      <c r="R425" s="38">
        <v>8</v>
      </c>
      <c r="S425" s="38">
        <f t="shared" si="129"/>
        <v>12</v>
      </c>
      <c r="T425" s="38">
        <f t="shared" si="130"/>
        <v>12</v>
      </c>
      <c r="U425" s="38">
        <v>3000</v>
      </c>
      <c r="V425" s="38">
        <v>1</v>
      </c>
      <c r="W425" s="38">
        <v>19</v>
      </c>
      <c r="X425" s="38">
        <v>10</v>
      </c>
      <c r="Y425" s="38">
        <v>75</v>
      </c>
      <c r="Z425" s="38">
        <v>300</v>
      </c>
      <c r="AA425" s="38">
        <v>50</v>
      </c>
      <c r="AB425" s="38">
        <v>10000</v>
      </c>
    </row>
    <row r="426" spans="1:28" s="38" customFormat="1">
      <c r="A426" s="38" t="str">
        <f t="shared" si="120"/>
        <v>PhyType.NewNpcType_6045</v>
      </c>
      <c r="B426" s="38" t="s">
        <v>137</v>
      </c>
      <c r="C426" s="38">
        <v>6045</v>
      </c>
      <c r="D426" s="38">
        <v>6045</v>
      </c>
      <c r="E426" s="39"/>
      <c r="F426" s="39"/>
      <c r="G426" s="40" t="s">
        <v>277</v>
      </c>
      <c r="H426" s="40" t="s">
        <v>231</v>
      </c>
      <c r="I426" s="41">
        <v>0</v>
      </c>
      <c r="J426" s="40"/>
      <c r="K426" s="43">
        <f t="shared" ref="K426:L426" si="144">INT(K432*0.8)</f>
        <v>35</v>
      </c>
      <c r="L426" s="43">
        <f t="shared" si="144"/>
        <v>52</v>
      </c>
      <c r="M426" s="38">
        <f t="shared" si="118"/>
        <v>35</v>
      </c>
      <c r="N426" s="38">
        <f t="shared" si="119"/>
        <v>52</v>
      </c>
      <c r="O426" s="38">
        <v>0</v>
      </c>
      <c r="P426" s="38">
        <v>0</v>
      </c>
      <c r="Q426" s="38">
        <v>10</v>
      </c>
      <c r="R426" s="38">
        <v>10</v>
      </c>
      <c r="S426" s="38">
        <f t="shared" si="129"/>
        <v>15</v>
      </c>
      <c r="T426" s="38">
        <f t="shared" si="130"/>
        <v>15</v>
      </c>
      <c r="U426" s="38">
        <v>3500</v>
      </c>
      <c r="V426" s="38">
        <v>1</v>
      </c>
      <c r="W426" s="38">
        <v>21</v>
      </c>
      <c r="X426" s="38">
        <v>10</v>
      </c>
      <c r="Y426" s="38">
        <v>75</v>
      </c>
      <c r="Z426" s="38">
        <v>300</v>
      </c>
      <c r="AA426" s="38">
        <v>50</v>
      </c>
      <c r="AB426" s="38">
        <v>10000</v>
      </c>
    </row>
    <row r="427" spans="1:28" s="38" customFormat="1">
      <c r="A427" s="38" t="str">
        <f t="shared" si="120"/>
        <v>PhyType.NewNpcType_6046</v>
      </c>
      <c r="B427" s="38" t="s">
        <v>137</v>
      </c>
      <c r="C427" s="38">
        <v>6046</v>
      </c>
      <c r="D427" s="38">
        <v>6046</v>
      </c>
      <c r="E427" s="39"/>
      <c r="F427" s="39"/>
      <c r="G427" s="40" t="s">
        <v>278</v>
      </c>
      <c r="H427" s="40" t="s">
        <v>231</v>
      </c>
      <c r="I427" s="41">
        <v>0</v>
      </c>
      <c r="J427" s="40"/>
      <c r="K427" s="43">
        <f t="shared" ref="K427:L427" si="145">INT(K433*0.8)</f>
        <v>40</v>
      </c>
      <c r="L427" s="43">
        <f t="shared" si="145"/>
        <v>60</v>
      </c>
      <c r="M427" s="38">
        <f t="shared" si="118"/>
        <v>40</v>
      </c>
      <c r="N427" s="38">
        <f t="shared" si="119"/>
        <v>60</v>
      </c>
      <c r="O427" s="38">
        <v>0</v>
      </c>
      <c r="P427" s="38">
        <v>0</v>
      </c>
      <c r="Q427" s="38">
        <v>12</v>
      </c>
      <c r="R427" s="38">
        <v>12</v>
      </c>
      <c r="S427" s="38">
        <f t="shared" si="129"/>
        <v>18</v>
      </c>
      <c r="T427" s="38">
        <f t="shared" si="130"/>
        <v>18</v>
      </c>
      <c r="U427" s="38">
        <v>4000</v>
      </c>
      <c r="V427" s="38">
        <v>1</v>
      </c>
      <c r="W427" s="38">
        <v>23</v>
      </c>
      <c r="X427" s="38">
        <v>10</v>
      </c>
      <c r="Y427" s="38">
        <v>75</v>
      </c>
      <c r="Z427" s="38">
        <v>300</v>
      </c>
      <c r="AA427" s="38">
        <v>50</v>
      </c>
      <c r="AB427" s="38">
        <v>10000</v>
      </c>
    </row>
    <row r="428" spans="1:28" s="38" customFormat="1">
      <c r="A428" s="38" t="str">
        <f t="shared" si="120"/>
        <v>PhyType.NewNpcType_6051</v>
      </c>
      <c r="B428" s="38" t="s">
        <v>137</v>
      </c>
      <c r="C428" s="38">
        <v>6051</v>
      </c>
      <c r="D428" s="38">
        <v>6051</v>
      </c>
      <c r="E428" s="39"/>
      <c r="F428" s="39"/>
      <c r="G428" s="40" t="s">
        <v>279</v>
      </c>
      <c r="H428" s="40" t="s">
        <v>231</v>
      </c>
      <c r="I428" s="41">
        <v>0</v>
      </c>
      <c r="J428" s="40"/>
      <c r="K428" s="38">
        <v>20</v>
      </c>
      <c r="L428" s="38">
        <v>30</v>
      </c>
      <c r="M428" s="38">
        <f t="shared" si="118"/>
        <v>20</v>
      </c>
      <c r="N428" s="38">
        <f t="shared" si="119"/>
        <v>30</v>
      </c>
      <c r="O428" s="38">
        <v>0</v>
      </c>
      <c r="P428" s="38">
        <v>0</v>
      </c>
      <c r="Q428" s="38">
        <v>2</v>
      </c>
      <c r="R428" s="38">
        <v>2</v>
      </c>
      <c r="S428" s="38">
        <f t="shared" si="129"/>
        <v>3</v>
      </c>
      <c r="T428" s="38">
        <f t="shared" si="130"/>
        <v>3</v>
      </c>
      <c r="U428" s="38">
        <v>1500</v>
      </c>
      <c r="V428" s="38">
        <v>1</v>
      </c>
      <c r="W428" s="38">
        <v>13</v>
      </c>
      <c r="X428" s="38">
        <v>10</v>
      </c>
      <c r="Y428" s="38">
        <v>75</v>
      </c>
      <c r="Z428" s="38">
        <v>300</v>
      </c>
      <c r="AA428" s="38">
        <v>50</v>
      </c>
      <c r="AB428" s="38">
        <v>10000</v>
      </c>
    </row>
    <row r="429" spans="1:28" s="38" customFormat="1">
      <c r="A429" s="38" t="str">
        <f t="shared" si="120"/>
        <v>PhyType.NewNpcType_6052</v>
      </c>
      <c r="B429" s="38" t="s">
        <v>137</v>
      </c>
      <c r="C429" s="38">
        <v>6052</v>
      </c>
      <c r="D429" s="38">
        <v>6052</v>
      </c>
      <c r="E429" s="39"/>
      <c r="F429" s="39"/>
      <c r="G429" s="40" t="s">
        <v>280</v>
      </c>
      <c r="H429" s="40" t="s">
        <v>231</v>
      </c>
      <c r="I429" s="41">
        <v>0</v>
      </c>
      <c r="J429" s="40"/>
      <c r="K429" s="38">
        <v>26</v>
      </c>
      <c r="L429" s="38">
        <v>39</v>
      </c>
      <c r="M429" s="38">
        <f t="shared" si="118"/>
        <v>26</v>
      </c>
      <c r="N429" s="38">
        <f t="shared" si="119"/>
        <v>39</v>
      </c>
      <c r="O429" s="38">
        <v>0</v>
      </c>
      <c r="P429" s="38">
        <v>0</v>
      </c>
      <c r="Q429" s="38">
        <v>4</v>
      </c>
      <c r="R429" s="38">
        <v>4</v>
      </c>
      <c r="S429" s="38">
        <f t="shared" si="129"/>
        <v>6</v>
      </c>
      <c r="T429" s="38">
        <f t="shared" si="130"/>
        <v>6</v>
      </c>
      <c r="U429" s="38">
        <v>2000</v>
      </c>
      <c r="V429" s="38">
        <v>1</v>
      </c>
      <c r="W429" s="38">
        <v>15</v>
      </c>
      <c r="X429" s="38">
        <v>10</v>
      </c>
      <c r="Y429" s="38">
        <v>75</v>
      </c>
      <c r="Z429" s="38">
        <v>300</v>
      </c>
      <c r="AA429" s="38">
        <v>50</v>
      </c>
      <c r="AB429" s="38">
        <v>10000</v>
      </c>
    </row>
    <row r="430" spans="1:28" s="38" customFormat="1">
      <c r="A430" s="38" t="str">
        <f t="shared" si="120"/>
        <v>PhyType.NewNpcType_6053</v>
      </c>
      <c r="B430" s="38" t="s">
        <v>137</v>
      </c>
      <c r="C430" s="38">
        <v>6053</v>
      </c>
      <c r="D430" s="38">
        <v>6053</v>
      </c>
      <c r="E430" s="39"/>
      <c r="F430" s="39"/>
      <c r="G430" s="40" t="s">
        <v>281</v>
      </c>
      <c r="H430" s="40" t="s">
        <v>231</v>
      </c>
      <c r="I430" s="41">
        <v>0</v>
      </c>
      <c r="J430" s="40"/>
      <c r="K430" s="38">
        <v>32</v>
      </c>
      <c r="L430" s="38">
        <v>48</v>
      </c>
      <c r="M430" s="38">
        <f t="shared" si="118"/>
        <v>32</v>
      </c>
      <c r="N430" s="38">
        <f t="shared" si="119"/>
        <v>48</v>
      </c>
      <c r="O430" s="38">
        <v>0</v>
      </c>
      <c r="P430" s="38">
        <v>0</v>
      </c>
      <c r="Q430" s="38">
        <v>6</v>
      </c>
      <c r="R430" s="38">
        <v>6</v>
      </c>
      <c r="S430" s="38">
        <f t="shared" si="129"/>
        <v>9</v>
      </c>
      <c r="T430" s="38">
        <f t="shared" si="130"/>
        <v>9</v>
      </c>
      <c r="U430" s="38">
        <v>2500</v>
      </c>
      <c r="V430" s="38">
        <v>1</v>
      </c>
      <c r="W430" s="38">
        <v>17</v>
      </c>
      <c r="X430" s="38">
        <v>10</v>
      </c>
      <c r="Y430" s="38">
        <v>75</v>
      </c>
      <c r="Z430" s="38">
        <v>300</v>
      </c>
      <c r="AA430" s="38">
        <v>50</v>
      </c>
      <c r="AB430" s="38">
        <v>10000</v>
      </c>
    </row>
    <row r="431" spans="1:28" s="38" customFormat="1">
      <c r="A431" s="38" t="str">
        <f t="shared" si="120"/>
        <v>PhyType.NewNpcType_6054</v>
      </c>
      <c r="B431" s="38" t="s">
        <v>137</v>
      </c>
      <c r="C431" s="38">
        <v>6054</v>
      </c>
      <c r="D431" s="38">
        <v>6054</v>
      </c>
      <c r="E431" s="39"/>
      <c r="F431" s="39"/>
      <c r="G431" s="40" t="s">
        <v>282</v>
      </c>
      <c r="H431" s="40" t="s">
        <v>231</v>
      </c>
      <c r="I431" s="41">
        <v>0</v>
      </c>
      <c r="J431" s="40"/>
      <c r="K431" s="38">
        <v>38</v>
      </c>
      <c r="L431" s="38">
        <v>57</v>
      </c>
      <c r="M431" s="38">
        <f t="shared" si="118"/>
        <v>38</v>
      </c>
      <c r="N431" s="38">
        <f t="shared" si="119"/>
        <v>57</v>
      </c>
      <c r="O431" s="38">
        <v>0</v>
      </c>
      <c r="P431" s="38">
        <v>0</v>
      </c>
      <c r="Q431" s="38">
        <v>8</v>
      </c>
      <c r="R431" s="38">
        <v>8</v>
      </c>
      <c r="S431" s="38">
        <f t="shared" si="129"/>
        <v>12</v>
      </c>
      <c r="T431" s="38">
        <f t="shared" si="130"/>
        <v>12</v>
      </c>
      <c r="U431" s="38">
        <v>3000</v>
      </c>
      <c r="V431" s="38">
        <v>1</v>
      </c>
      <c r="W431" s="38">
        <v>19</v>
      </c>
      <c r="X431" s="38">
        <v>10</v>
      </c>
      <c r="Y431" s="38">
        <v>75</v>
      </c>
      <c r="Z431" s="38">
        <v>300</v>
      </c>
      <c r="AA431" s="38">
        <v>50</v>
      </c>
      <c r="AB431" s="38">
        <v>10000</v>
      </c>
    </row>
    <row r="432" spans="1:28" s="38" customFormat="1">
      <c r="A432" s="38" t="str">
        <f t="shared" si="120"/>
        <v>PhyType.NewNpcType_6055</v>
      </c>
      <c r="B432" s="38" t="s">
        <v>137</v>
      </c>
      <c r="C432" s="38">
        <v>6055</v>
      </c>
      <c r="D432" s="38">
        <v>6055</v>
      </c>
      <c r="E432" s="39"/>
      <c r="F432" s="39"/>
      <c r="G432" s="40" t="s">
        <v>283</v>
      </c>
      <c r="H432" s="40" t="s">
        <v>231</v>
      </c>
      <c r="I432" s="41">
        <v>0</v>
      </c>
      <c r="J432" s="40"/>
      <c r="K432" s="38">
        <v>44</v>
      </c>
      <c r="L432" s="38">
        <v>66</v>
      </c>
      <c r="M432" s="38">
        <f t="shared" si="118"/>
        <v>44</v>
      </c>
      <c r="N432" s="38">
        <f t="shared" si="119"/>
        <v>66</v>
      </c>
      <c r="O432" s="38">
        <v>0</v>
      </c>
      <c r="P432" s="38">
        <v>0</v>
      </c>
      <c r="Q432" s="38">
        <v>10</v>
      </c>
      <c r="R432" s="38">
        <v>10</v>
      </c>
      <c r="S432" s="38">
        <f t="shared" si="129"/>
        <v>15</v>
      </c>
      <c r="T432" s="38">
        <f t="shared" si="130"/>
        <v>15</v>
      </c>
      <c r="U432" s="38">
        <v>3500</v>
      </c>
      <c r="V432" s="38">
        <v>1</v>
      </c>
      <c r="W432" s="38">
        <v>21</v>
      </c>
      <c r="X432" s="38">
        <v>10</v>
      </c>
      <c r="Y432" s="38">
        <v>75</v>
      </c>
      <c r="Z432" s="38">
        <v>300</v>
      </c>
      <c r="AA432" s="38">
        <v>50</v>
      </c>
      <c r="AB432" s="38">
        <v>10000</v>
      </c>
    </row>
    <row r="433" spans="1:28" s="38" customFormat="1">
      <c r="A433" s="38" t="str">
        <f t="shared" si="120"/>
        <v>PhyType.NewNpcType_6056</v>
      </c>
      <c r="B433" s="38" t="s">
        <v>137</v>
      </c>
      <c r="C433" s="38">
        <v>6056</v>
      </c>
      <c r="D433" s="38">
        <v>6056</v>
      </c>
      <c r="E433" s="39"/>
      <c r="F433" s="39"/>
      <c r="G433" s="40" t="s">
        <v>284</v>
      </c>
      <c r="H433" s="40" t="s">
        <v>231</v>
      </c>
      <c r="I433" s="41">
        <v>0</v>
      </c>
      <c r="J433" s="40"/>
      <c r="K433" s="38">
        <v>50</v>
      </c>
      <c r="L433" s="38">
        <v>75</v>
      </c>
      <c r="M433" s="38">
        <f t="shared" si="118"/>
        <v>50</v>
      </c>
      <c r="N433" s="38">
        <f t="shared" si="119"/>
        <v>75</v>
      </c>
      <c r="O433" s="38">
        <v>0</v>
      </c>
      <c r="P433" s="38">
        <v>0</v>
      </c>
      <c r="Q433" s="38">
        <v>12</v>
      </c>
      <c r="R433" s="38">
        <v>12</v>
      </c>
      <c r="S433" s="38">
        <f t="shared" si="129"/>
        <v>18</v>
      </c>
      <c r="T433" s="38">
        <f t="shared" si="130"/>
        <v>18</v>
      </c>
      <c r="U433" s="38">
        <v>4000</v>
      </c>
      <c r="V433" s="38">
        <v>1</v>
      </c>
      <c r="W433" s="38">
        <v>23</v>
      </c>
      <c r="X433" s="38">
        <v>10</v>
      </c>
      <c r="Y433" s="38">
        <v>75</v>
      </c>
      <c r="Z433" s="38">
        <v>300</v>
      </c>
      <c r="AA433" s="38">
        <v>50</v>
      </c>
      <c r="AB433" s="38">
        <v>10000</v>
      </c>
    </row>
    <row r="434" spans="1:28" s="38" customFormat="1">
      <c r="A434" s="38" t="str">
        <f t="shared" ref="A434:A446" si="146">"PhyType.NewNpcType_"&amp;D434</f>
        <v>PhyType.NewNpcType_6111</v>
      </c>
      <c r="B434" s="38" t="s">
        <v>137</v>
      </c>
      <c r="C434" s="38">
        <v>6111</v>
      </c>
      <c r="D434" s="38">
        <v>6111</v>
      </c>
      <c r="E434" s="39"/>
      <c r="F434" s="39"/>
      <c r="G434" s="40" t="s">
        <v>232</v>
      </c>
      <c r="H434" s="40" t="s">
        <v>231</v>
      </c>
      <c r="I434" s="41">
        <v>0</v>
      </c>
      <c r="J434" s="40"/>
      <c r="K434" s="38">
        <v>0</v>
      </c>
      <c r="L434" s="38">
        <v>0</v>
      </c>
      <c r="M434" s="38">
        <f t="shared" si="118"/>
        <v>0</v>
      </c>
      <c r="N434" s="38">
        <f t="shared" si="119"/>
        <v>0</v>
      </c>
      <c r="O434" s="38">
        <v>0</v>
      </c>
      <c r="P434" s="38">
        <v>0</v>
      </c>
      <c r="Q434" s="38">
        <v>2</v>
      </c>
      <c r="R434" s="38">
        <v>2</v>
      </c>
      <c r="S434" s="38">
        <f t="shared" si="129"/>
        <v>3</v>
      </c>
      <c r="T434" s="38">
        <f t="shared" si="130"/>
        <v>3</v>
      </c>
      <c r="U434" s="38">
        <v>5000</v>
      </c>
      <c r="V434" s="38">
        <v>1</v>
      </c>
      <c r="W434" s="38">
        <v>10</v>
      </c>
      <c r="X434" s="38">
        <v>10</v>
      </c>
      <c r="Y434" s="38">
        <v>75</v>
      </c>
      <c r="Z434" s="38">
        <v>300</v>
      </c>
      <c r="AA434" s="38">
        <v>50</v>
      </c>
      <c r="AB434" s="38">
        <v>10000</v>
      </c>
    </row>
    <row r="435" spans="1:28" s="38" customFormat="1">
      <c r="A435" s="38" t="str">
        <f t="shared" ref="A435:A444" si="147">"PhyType.NewNpcType_"&amp;D435</f>
        <v>PhyType.NewNpcType_6112</v>
      </c>
      <c r="B435" s="38" t="s">
        <v>137</v>
      </c>
      <c r="C435" s="38">
        <v>6112</v>
      </c>
      <c r="D435" s="38">
        <v>6112</v>
      </c>
      <c r="E435" s="39"/>
      <c r="F435" s="39"/>
      <c r="G435" s="40" t="s">
        <v>233</v>
      </c>
      <c r="H435" s="40" t="s">
        <v>231</v>
      </c>
      <c r="I435" s="41">
        <v>0</v>
      </c>
      <c r="J435" s="40"/>
      <c r="K435" s="38">
        <v>0</v>
      </c>
      <c r="L435" s="38">
        <v>0</v>
      </c>
      <c r="M435" s="38">
        <f t="shared" si="118"/>
        <v>0</v>
      </c>
      <c r="N435" s="38">
        <f t="shared" si="119"/>
        <v>0</v>
      </c>
      <c r="O435" s="38">
        <v>0</v>
      </c>
      <c r="P435" s="38">
        <v>0</v>
      </c>
      <c r="Q435" s="38">
        <v>4</v>
      </c>
      <c r="R435" s="38">
        <v>4</v>
      </c>
      <c r="S435" s="38">
        <f t="shared" si="129"/>
        <v>6</v>
      </c>
      <c r="T435" s="38">
        <f t="shared" si="130"/>
        <v>6</v>
      </c>
      <c r="U435" s="38">
        <v>6000</v>
      </c>
      <c r="V435" s="38">
        <v>1</v>
      </c>
      <c r="W435" s="38">
        <v>10</v>
      </c>
      <c r="X435" s="38">
        <v>10</v>
      </c>
      <c r="Y435" s="38">
        <v>75</v>
      </c>
      <c r="Z435" s="38">
        <v>300</v>
      </c>
      <c r="AA435" s="38">
        <v>50</v>
      </c>
      <c r="AB435" s="38">
        <v>10000</v>
      </c>
    </row>
    <row r="436" spans="1:28" s="38" customFormat="1">
      <c r="A436" s="38" t="str">
        <f t="shared" si="147"/>
        <v>PhyType.NewNpcType_6113</v>
      </c>
      <c r="B436" s="38" t="s">
        <v>137</v>
      </c>
      <c r="C436" s="38">
        <v>6113</v>
      </c>
      <c r="D436" s="38">
        <v>6113</v>
      </c>
      <c r="E436" s="39"/>
      <c r="F436" s="39"/>
      <c r="G436" s="40" t="s">
        <v>234</v>
      </c>
      <c r="H436" s="40" t="s">
        <v>231</v>
      </c>
      <c r="I436" s="41">
        <v>0</v>
      </c>
      <c r="J436" s="40"/>
      <c r="K436" s="38">
        <v>0</v>
      </c>
      <c r="L436" s="38">
        <v>0</v>
      </c>
      <c r="M436" s="38">
        <f t="shared" si="118"/>
        <v>0</v>
      </c>
      <c r="N436" s="38">
        <f t="shared" si="119"/>
        <v>0</v>
      </c>
      <c r="O436" s="38">
        <v>0</v>
      </c>
      <c r="P436" s="38">
        <v>0</v>
      </c>
      <c r="Q436" s="38">
        <v>6</v>
      </c>
      <c r="R436" s="38">
        <v>6</v>
      </c>
      <c r="S436" s="38">
        <f t="shared" si="129"/>
        <v>9</v>
      </c>
      <c r="T436" s="38">
        <f t="shared" si="130"/>
        <v>9</v>
      </c>
      <c r="U436" s="38">
        <v>7000</v>
      </c>
      <c r="V436" s="38">
        <v>1</v>
      </c>
      <c r="W436" s="38">
        <v>10</v>
      </c>
      <c r="X436" s="38">
        <v>10</v>
      </c>
      <c r="Y436" s="38">
        <v>75</v>
      </c>
      <c r="Z436" s="38">
        <v>300</v>
      </c>
      <c r="AA436" s="38">
        <v>50</v>
      </c>
      <c r="AB436" s="38">
        <v>10000</v>
      </c>
    </row>
    <row r="437" spans="1:28" s="38" customFormat="1">
      <c r="A437" s="38" t="str">
        <f t="shared" si="147"/>
        <v>PhyType.NewNpcType_6114</v>
      </c>
      <c r="B437" s="38" t="s">
        <v>137</v>
      </c>
      <c r="C437" s="38">
        <v>6114</v>
      </c>
      <c r="D437" s="38">
        <v>6114</v>
      </c>
      <c r="E437" s="39"/>
      <c r="F437" s="39"/>
      <c r="G437" s="40" t="s">
        <v>235</v>
      </c>
      <c r="H437" s="40" t="s">
        <v>231</v>
      </c>
      <c r="I437" s="41">
        <v>0</v>
      </c>
      <c r="J437" s="40"/>
      <c r="K437" s="38">
        <v>0</v>
      </c>
      <c r="L437" s="38">
        <v>0</v>
      </c>
      <c r="M437" s="38">
        <f t="shared" si="118"/>
        <v>0</v>
      </c>
      <c r="N437" s="38">
        <f t="shared" si="119"/>
        <v>0</v>
      </c>
      <c r="O437" s="38">
        <v>0</v>
      </c>
      <c r="P437" s="38">
        <v>0</v>
      </c>
      <c r="Q437" s="38">
        <v>8</v>
      </c>
      <c r="R437" s="38">
        <v>8</v>
      </c>
      <c r="S437" s="38">
        <f t="shared" si="129"/>
        <v>12</v>
      </c>
      <c r="T437" s="38">
        <f t="shared" si="130"/>
        <v>12</v>
      </c>
      <c r="U437" s="38">
        <v>8000</v>
      </c>
      <c r="V437" s="38">
        <v>1</v>
      </c>
      <c r="W437" s="38">
        <v>10</v>
      </c>
      <c r="X437" s="38">
        <v>10</v>
      </c>
      <c r="Y437" s="38">
        <v>75</v>
      </c>
      <c r="Z437" s="38">
        <v>300</v>
      </c>
      <c r="AA437" s="38">
        <v>50</v>
      </c>
      <c r="AB437" s="38">
        <v>10000</v>
      </c>
    </row>
    <row r="438" spans="1:28" s="38" customFormat="1">
      <c r="A438" s="38" t="str">
        <f t="shared" si="147"/>
        <v>PhyType.NewNpcType_6115</v>
      </c>
      <c r="B438" s="38" t="s">
        <v>137</v>
      </c>
      <c r="C438" s="38">
        <v>6115</v>
      </c>
      <c r="D438" s="38">
        <v>6115</v>
      </c>
      <c r="E438" s="39"/>
      <c r="F438" s="39"/>
      <c r="G438" s="40" t="s">
        <v>236</v>
      </c>
      <c r="H438" s="40" t="s">
        <v>231</v>
      </c>
      <c r="I438" s="41">
        <v>0</v>
      </c>
      <c r="J438" s="40"/>
      <c r="K438" s="38">
        <v>0</v>
      </c>
      <c r="L438" s="38">
        <v>0</v>
      </c>
      <c r="M438" s="38">
        <f t="shared" si="118"/>
        <v>0</v>
      </c>
      <c r="N438" s="38">
        <f t="shared" si="119"/>
        <v>0</v>
      </c>
      <c r="O438" s="38">
        <v>0</v>
      </c>
      <c r="P438" s="38">
        <v>0</v>
      </c>
      <c r="Q438" s="38">
        <v>10</v>
      </c>
      <c r="R438" s="38">
        <v>10</v>
      </c>
      <c r="S438" s="38">
        <f t="shared" si="129"/>
        <v>15</v>
      </c>
      <c r="T438" s="38">
        <f t="shared" si="130"/>
        <v>15</v>
      </c>
      <c r="U438" s="38">
        <v>9000</v>
      </c>
      <c r="V438" s="38">
        <v>1</v>
      </c>
      <c r="W438" s="38">
        <v>10</v>
      </c>
      <c r="X438" s="38">
        <v>10</v>
      </c>
      <c r="Y438" s="38">
        <v>75</v>
      </c>
      <c r="Z438" s="38">
        <v>300</v>
      </c>
      <c r="AA438" s="38">
        <v>50</v>
      </c>
      <c r="AB438" s="38">
        <v>10000</v>
      </c>
    </row>
    <row r="439" spans="1:28" s="38" customFormat="1">
      <c r="A439" s="38" t="str">
        <f t="shared" si="147"/>
        <v>PhyType.NewNpcType_6116</v>
      </c>
      <c r="B439" s="38" t="s">
        <v>137</v>
      </c>
      <c r="C439" s="38">
        <v>6116</v>
      </c>
      <c r="D439" s="38">
        <v>6116</v>
      </c>
      <c r="E439" s="39"/>
      <c r="F439" s="39"/>
      <c r="G439" s="40" t="s">
        <v>237</v>
      </c>
      <c r="H439" s="40" t="s">
        <v>231</v>
      </c>
      <c r="I439" s="41">
        <v>0</v>
      </c>
      <c r="J439" s="40"/>
      <c r="K439" s="38">
        <v>0</v>
      </c>
      <c r="L439" s="38">
        <v>0</v>
      </c>
      <c r="M439" s="38">
        <f t="shared" si="118"/>
        <v>0</v>
      </c>
      <c r="N439" s="38">
        <f t="shared" si="119"/>
        <v>0</v>
      </c>
      <c r="O439" s="38">
        <v>0</v>
      </c>
      <c r="P439" s="38">
        <v>0</v>
      </c>
      <c r="Q439" s="38">
        <v>12</v>
      </c>
      <c r="R439" s="38">
        <v>12</v>
      </c>
      <c r="S439" s="38">
        <f t="shared" si="129"/>
        <v>18</v>
      </c>
      <c r="T439" s="38">
        <f t="shared" si="130"/>
        <v>18</v>
      </c>
      <c r="U439" s="38">
        <v>10000</v>
      </c>
      <c r="V439" s="38">
        <v>1</v>
      </c>
      <c r="W439" s="38">
        <v>10</v>
      </c>
      <c r="X439" s="38">
        <v>10</v>
      </c>
      <c r="Y439" s="38">
        <v>75</v>
      </c>
      <c r="Z439" s="38">
        <v>300</v>
      </c>
      <c r="AA439" s="38">
        <v>50</v>
      </c>
      <c r="AB439" s="38">
        <v>10000</v>
      </c>
    </row>
    <row r="440" spans="1:28" s="38" customFormat="1">
      <c r="A440" s="38" t="str">
        <f t="shared" si="147"/>
        <v>PhyType.NewNpcType_6121</v>
      </c>
      <c r="B440" s="38" t="s">
        <v>137</v>
      </c>
      <c r="C440" s="38">
        <v>6121</v>
      </c>
      <c r="D440" s="38">
        <v>6121</v>
      </c>
      <c r="E440" s="39"/>
      <c r="F440" s="39"/>
      <c r="G440" s="40" t="s">
        <v>238</v>
      </c>
      <c r="H440" s="40" t="s">
        <v>231</v>
      </c>
      <c r="I440" s="41">
        <v>0</v>
      </c>
      <c r="J440" s="40"/>
      <c r="K440" s="38">
        <v>0</v>
      </c>
      <c r="L440" s="38">
        <v>0</v>
      </c>
      <c r="M440" s="38">
        <f t="shared" si="118"/>
        <v>0</v>
      </c>
      <c r="N440" s="38">
        <f t="shared" si="119"/>
        <v>0</v>
      </c>
      <c r="O440" s="38">
        <v>0</v>
      </c>
      <c r="P440" s="38">
        <v>0</v>
      </c>
      <c r="Q440" s="38">
        <v>2</v>
      </c>
      <c r="R440" s="38">
        <v>2</v>
      </c>
      <c r="S440" s="38">
        <f t="shared" si="129"/>
        <v>3</v>
      </c>
      <c r="T440" s="38">
        <f t="shared" si="130"/>
        <v>3</v>
      </c>
      <c r="U440" s="42">
        <f>U434*3</f>
        <v>15000</v>
      </c>
      <c r="V440" s="38">
        <v>1</v>
      </c>
      <c r="W440" s="38">
        <v>10</v>
      </c>
      <c r="X440" s="38">
        <v>10</v>
      </c>
      <c r="Y440" s="38">
        <v>75</v>
      </c>
      <c r="Z440" s="38">
        <v>300</v>
      </c>
      <c r="AA440" s="38">
        <v>50</v>
      </c>
      <c r="AB440" s="38">
        <v>10000</v>
      </c>
    </row>
    <row r="441" spans="1:28" s="38" customFormat="1">
      <c r="A441" s="38" t="str">
        <f t="shared" si="147"/>
        <v>PhyType.NewNpcType_6122</v>
      </c>
      <c r="B441" s="38" t="s">
        <v>137</v>
      </c>
      <c r="C441" s="38">
        <v>6122</v>
      </c>
      <c r="D441" s="38">
        <v>6122</v>
      </c>
      <c r="E441" s="39"/>
      <c r="F441" s="39"/>
      <c r="G441" s="40" t="s">
        <v>239</v>
      </c>
      <c r="H441" s="40" t="s">
        <v>231</v>
      </c>
      <c r="I441" s="41">
        <v>0</v>
      </c>
      <c r="J441" s="40"/>
      <c r="K441" s="38">
        <v>0</v>
      </c>
      <c r="L441" s="38">
        <v>0</v>
      </c>
      <c r="M441" s="38">
        <f t="shared" si="118"/>
        <v>0</v>
      </c>
      <c r="N441" s="38">
        <f t="shared" si="119"/>
        <v>0</v>
      </c>
      <c r="O441" s="38">
        <v>0</v>
      </c>
      <c r="P441" s="38">
        <v>0</v>
      </c>
      <c r="Q441" s="38">
        <v>4</v>
      </c>
      <c r="R441" s="38">
        <v>4</v>
      </c>
      <c r="S441" s="38">
        <f t="shared" si="129"/>
        <v>6</v>
      </c>
      <c r="T441" s="38">
        <f t="shared" si="130"/>
        <v>6</v>
      </c>
      <c r="U441" s="42">
        <f t="shared" ref="U441:U445" si="148">U435*3</f>
        <v>18000</v>
      </c>
      <c r="V441" s="38">
        <v>1</v>
      </c>
      <c r="W441" s="38">
        <v>10</v>
      </c>
      <c r="X441" s="38">
        <v>10</v>
      </c>
      <c r="Y441" s="38">
        <v>75</v>
      </c>
      <c r="Z441" s="38">
        <v>300</v>
      </c>
      <c r="AA441" s="38">
        <v>50</v>
      </c>
      <c r="AB441" s="38">
        <v>10000</v>
      </c>
    </row>
    <row r="442" spans="1:28" s="38" customFormat="1">
      <c r="A442" s="38" t="str">
        <f t="shared" si="147"/>
        <v>PhyType.NewNpcType_6123</v>
      </c>
      <c r="B442" s="38" t="s">
        <v>137</v>
      </c>
      <c r="C442" s="38">
        <v>6123</v>
      </c>
      <c r="D442" s="38">
        <v>6123</v>
      </c>
      <c r="E442" s="39"/>
      <c r="F442" s="39"/>
      <c r="G442" s="40" t="s">
        <v>240</v>
      </c>
      <c r="H442" s="40" t="s">
        <v>231</v>
      </c>
      <c r="I442" s="41">
        <v>0</v>
      </c>
      <c r="J442" s="40"/>
      <c r="K442" s="38">
        <v>0</v>
      </c>
      <c r="L442" s="38">
        <v>0</v>
      </c>
      <c r="M442" s="38">
        <f t="shared" si="118"/>
        <v>0</v>
      </c>
      <c r="N442" s="38">
        <f t="shared" si="119"/>
        <v>0</v>
      </c>
      <c r="O442" s="38">
        <v>0</v>
      </c>
      <c r="P442" s="38">
        <v>0</v>
      </c>
      <c r="Q442" s="38">
        <v>6</v>
      </c>
      <c r="R442" s="38">
        <v>6</v>
      </c>
      <c r="S442" s="38">
        <f t="shared" si="129"/>
        <v>9</v>
      </c>
      <c r="T442" s="38">
        <f t="shared" si="130"/>
        <v>9</v>
      </c>
      <c r="U442" s="42">
        <f t="shared" si="148"/>
        <v>21000</v>
      </c>
      <c r="V442" s="38">
        <v>1</v>
      </c>
      <c r="W442" s="38">
        <v>10</v>
      </c>
      <c r="X442" s="38">
        <v>10</v>
      </c>
      <c r="Y442" s="38">
        <v>75</v>
      </c>
      <c r="Z442" s="38">
        <v>300</v>
      </c>
      <c r="AA442" s="38">
        <v>50</v>
      </c>
      <c r="AB442" s="38">
        <v>10000</v>
      </c>
    </row>
    <row r="443" spans="1:28" s="38" customFormat="1">
      <c r="A443" s="38" t="str">
        <f t="shared" si="147"/>
        <v>PhyType.NewNpcType_6124</v>
      </c>
      <c r="B443" s="38" t="s">
        <v>137</v>
      </c>
      <c r="C443" s="38">
        <v>6124</v>
      </c>
      <c r="D443" s="38">
        <v>6124</v>
      </c>
      <c r="E443" s="39"/>
      <c r="F443" s="39"/>
      <c r="G443" s="40" t="s">
        <v>241</v>
      </c>
      <c r="H443" s="40" t="s">
        <v>231</v>
      </c>
      <c r="I443" s="41">
        <v>0</v>
      </c>
      <c r="J443" s="40"/>
      <c r="K443" s="38">
        <v>0</v>
      </c>
      <c r="L443" s="38">
        <v>0</v>
      </c>
      <c r="M443" s="38">
        <f t="shared" si="118"/>
        <v>0</v>
      </c>
      <c r="N443" s="38">
        <f t="shared" si="119"/>
        <v>0</v>
      </c>
      <c r="O443" s="38">
        <v>0</v>
      </c>
      <c r="P443" s="38">
        <v>0</v>
      </c>
      <c r="Q443" s="38">
        <v>8</v>
      </c>
      <c r="R443" s="38">
        <v>8</v>
      </c>
      <c r="S443" s="38">
        <f t="shared" si="129"/>
        <v>12</v>
      </c>
      <c r="T443" s="38">
        <f t="shared" si="130"/>
        <v>12</v>
      </c>
      <c r="U443" s="42">
        <f t="shared" si="148"/>
        <v>24000</v>
      </c>
      <c r="V443" s="38">
        <v>1</v>
      </c>
      <c r="W443" s="38">
        <v>10</v>
      </c>
      <c r="X443" s="38">
        <v>10</v>
      </c>
      <c r="Y443" s="38">
        <v>75</v>
      </c>
      <c r="Z443" s="38">
        <v>300</v>
      </c>
      <c r="AA443" s="38">
        <v>50</v>
      </c>
      <c r="AB443" s="38">
        <v>10000</v>
      </c>
    </row>
    <row r="444" spans="1:28" s="38" customFormat="1">
      <c r="A444" s="38" t="str">
        <f t="shared" si="147"/>
        <v>PhyType.NewNpcType_6125</v>
      </c>
      <c r="B444" s="38" t="s">
        <v>137</v>
      </c>
      <c r="C444" s="38">
        <v>6125</v>
      </c>
      <c r="D444" s="38">
        <v>6125</v>
      </c>
      <c r="E444" s="39"/>
      <c r="F444" s="39"/>
      <c r="G444" s="40" t="s">
        <v>242</v>
      </c>
      <c r="H444" s="40" t="s">
        <v>231</v>
      </c>
      <c r="I444" s="41">
        <v>0</v>
      </c>
      <c r="J444" s="40"/>
      <c r="K444" s="38">
        <v>0</v>
      </c>
      <c r="L444" s="38">
        <v>0</v>
      </c>
      <c r="M444" s="38">
        <f t="shared" si="118"/>
        <v>0</v>
      </c>
      <c r="N444" s="38">
        <f t="shared" si="119"/>
        <v>0</v>
      </c>
      <c r="O444" s="38">
        <v>0</v>
      </c>
      <c r="P444" s="38">
        <v>0</v>
      </c>
      <c r="Q444" s="38">
        <v>10</v>
      </c>
      <c r="R444" s="38">
        <v>10</v>
      </c>
      <c r="S444" s="38">
        <f t="shared" si="129"/>
        <v>15</v>
      </c>
      <c r="T444" s="38">
        <f t="shared" si="130"/>
        <v>15</v>
      </c>
      <c r="U444" s="42">
        <f t="shared" si="148"/>
        <v>27000</v>
      </c>
      <c r="V444" s="38">
        <v>1</v>
      </c>
      <c r="W444" s="38">
        <v>10</v>
      </c>
      <c r="X444" s="38">
        <v>10</v>
      </c>
      <c r="Y444" s="38">
        <v>75</v>
      </c>
      <c r="Z444" s="38">
        <v>300</v>
      </c>
      <c r="AA444" s="38">
        <v>50</v>
      </c>
      <c r="AB444" s="38">
        <v>10000</v>
      </c>
    </row>
    <row r="445" spans="1:28" s="38" customFormat="1">
      <c r="A445" s="38" t="str">
        <f t="shared" si="146"/>
        <v>PhyType.NewNpcType_6126</v>
      </c>
      <c r="B445" s="38" t="s">
        <v>137</v>
      </c>
      <c r="C445" s="38">
        <v>6126</v>
      </c>
      <c r="D445" s="38">
        <v>6126</v>
      </c>
      <c r="E445" s="39"/>
      <c r="F445" s="39"/>
      <c r="G445" s="40" t="s">
        <v>243</v>
      </c>
      <c r="H445" s="40" t="s">
        <v>231</v>
      </c>
      <c r="I445" s="41">
        <v>0</v>
      </c>
      <c r="J445" s="40"/>
      <c r="K445" s="38">
        <v>0</v>
      </c>
      <c r="L445" s="38">
        <v>0</v>
      </c>
      <c r="M445" s="38">
        <f t="shared" si="118"/>
        <v>0</v>
      </c>
      <c r="N445" s="38">
        <f t="shared" si="119"/>
        <v>0</v>
      </c>
      <c r="O445" s="38">
        <v>0</v>
      </c>
      <c r="P445" s="38">
        <v>0</v>
      </c>
      <c r="Q445" s="38">
        <v>12</v>
      </c>
      <c r="R445" s="38">
        <v>12</v>
      </c>
      <c r="S445" s="38">
        <f t="shared" si="129"/>
        <v>18</v>
      </c>
      <c r="T445" s="38">
        <f t="shared" si="130"/>
        <v>18</v>
      </c>
      <c r="U445" s="42">
        <f t="shared" si="148"/>
        <v>30000</v>
      </c>
      <c r="V445" s="38">
        <v>1</v>
      </c>
      <c r="W445" s="38">
        <v>10</v>
      </c>
      <c r="X445" s="38">
        <v>10</v>
      </c>
      <c r="Y445" s="38">
        <v>75</v>
      </c>
      <c r="Z445" s="38">
        <v>300</v>
      </c>
      <c r="AA445" s="38">
        <v>50</v>
      </c>
      <c r="AB445" s="38">
        <v>10000</v>
      </c>
    </row>
    <row r="446" spans="1:28" s="38" customFormat="1">
      <c r="A446" s="38" t="str">
        <f t="shared" si="146"/>
        <v>PhyType.NewNpcType_6131</v>
      </c>
      <c r="B446" s="38" t="s">
        <v>137</v>
      </c>
      <c r="C446" s="38">
        <v>6131</v>
      </c>
      <c r="D446" s="38">
        <v>6131</v>
      </c>
      <c r="E446" s="39"/>
      <c r="F446" s="39"/>
      <c r="G446" s="40" t="s">
        <v>244</v>
      </c>
      <c r="H446" s="40" t="s">
        <v>231</v>
      </c>
      <c r="I446" s="41">
        <v>0</v>
      </c>
      <c r="J446" s="40"/>
      <c r="K446" s="38">
        <v>0</v>
      </c>
      <c r="L446" s="38">
        <v>0</v>
      </c>
      <c r="M446" s="38">
        <f t="shared" si="118"/>
        <v>0</v>
      </c>
      <c r="N446" s="38">
        <f t="shared" si="119"/>
        <v>0</v>
      </c>
      <c r="O446" s="38">
        <v>0</v>
      </c>
      <c r="P446" s="38">
        <v>0</v>
      </c>
      <c r="Q446" s="38">
        <v>3</v>
      </c>
      <c r="R446" s="38">
        <v>3</v>
      </c>
      <c r="S446" s="38">
        <f t="shared" si="129"/>
        <v>4</v>
      </c>
      <c r="T446" s="38">
        <f t="shared" si="130"/>
        <v>4</v>
      </c>
      <c r="U446" s="42">
        <f>U434*8</f>
        <v>40000</v>
      </c>
      <c r="V446" s="38">
        <v>1</v>
      </c>
      <c r="W446" s="38">
        <v>10</v>
      </c>
      <c r="X446" s="38">
        <v>10</v>
      </c>
      <c r="Y446" s="38">
        <v>75</v>
      </c>
      <c r="Z446" s="38">
        <v>300</v>
      </c>
      <c r="AA446" s="38">
        <v>50</v>
      </c>
      <c r="AB446" s="38">
        <v>10000</v>
      </c>
    </row>
    <row r="447" spans="1:28" s="38" customFormat="1">
      <c r="A447" s="38" t="str">
        <f t="shared" ref="A447:A451" si="149">"PhyType.NewNpcType_"&amp;D447</f>
        <v>PhyType.NewNpcType_6132</v>
      </c>
      <c r="B447" s="38" t="s">
        <v>137</v>
      </c>
      <c r="C447" s="38">
        <v>6132</v>
      </c>
      <c r="D447" s="38">
        <v>6132</v>
      </c>
      <c r="E447" s="39"/>
      <c r="F447" s="39"/>
      <c r="G447" s="40" t="s">
        <v>245</v>
      </c>
      <c r="H447" s="40" t="s">
        <v>231</v>
      </c>
      <c r="I447" s="41">
        <v>0</v>
      </c>
      <c r="J447" s="40"/>
      <c r="K447" s="38">
        <v>0</v>
      </c>
      <c r="L447" s="38">
        <v>0</v>
      </c>
      <c r="M447" s="38">
        <f t="shared" si="118"/>
        <v>0</v>
      </c>
      <c r="N447" s="38">
        <f t="shared" si="119"/>
        <v>0</v>
      </c>
      <c r="O447" s="38">
        <v>0</v>
      </c>
      <c r="P447" s="38">
        <v>0</v>
      </c>
      <c r="Q447" s="38">
        <v>6</v>
      </c>
      <c r="R447" s="38">
        <v>6</v>
      </c>
      <c r="S447" s="38">
        <f t="shared" si="129"/>
        <v>9</v>
      </c>
      <c r="T447" s="38">
        <f t="shared" si="130"/>
        <v>9</v>
      </c>
      <c r="U447" s="42">
        <f t="shared" ref="U447:U451" si="150">U435*8</f>
        <v>48000</v>
      </c>
      <c r="V447" s="38">
        <v>1</v>
      </c>
      <c r="W447" s="38">
        <v>10</v>
      </c>
      <c r="X447" s="38">
        <v>10</v>
      </c>
      <c r="Y447" s="38">
        <v>75</v>
      </c>
      <c r="Z447" s="38">
        <v>300</v>
      </c>
      <c r="AA447" s="38">
        <v>50</v>
      </c>
      <c r="AB447" s="38">
        <v>10000</v>
      </c>
    </row>
    <row r="448" spans="1:28" s="38" customFormat="1">
      <c r="A448" s="38" t="str">
        <f t="shared" si="149"/>
        <v>PhyType.NewNpcType_6133</v>
      </c>
      <c r="B448" s="38" t="s">
        <v>137</v>
      </c>
      <c r="C448" s="38">
        <v>6133</v>
      </c>
      <c r="D448" s="38">
        <v>6133</v>
      </c>
      <c r="E448" s="39"/>
      <c r="F448" s="39"/>
      <c r="G448" s="40" t="s">
        <v>246</v>
      </c>
      <c r="H448" s="40" t="s">
        <v>231</v>
      </c>
      <c r="I448" s="41">
        <v>0</v>
      </c>
      <c r="J448" s="40"/>
      <c r="K448" s="38">
        <v>0</v>
      </c>
      <c r="L448" s="38">
        <v>0</v>
      </c>
      <c r="M448" s="38">
        <f t="shared" si="118"/>
        <v>0</v>
      </c>
      <c r="N448" s="38">
        <f t="shared" si="119"/>
        <v>0</v>
      </c>
      <c r="O448" s="38">
        <v>0</v>
      </c>
      <c r="P448" s="38">
        <v>0</v>
      </c>
      <c r="Q448" s="38">
        <v>9</v>
      </c>
      <c r="R448" s="38">
        <v>9</v>
      </c>
      <c r="S448" s="38">
        <f t="shared" si="129"/>
        <v>13</v>
      </c>
      <c r="T448" s="38">
        <f t="shared" si="130"/>
        <v>13</v>
      </c>
      <c r="U448" s="42">
        <f t="shared" si="150"/>
        <v>56000</v>
      </c>
      <c r="V448" s="38">
        <v>1</v>
      </c>
      <c r="W448" s="38">
        <v>10</v>
      </c>
      <c r="X448" s="38">
        <v>10</v>
      </c>
      <c r="Y448" s="38">
        <v>75</v>
      </c>
      <c r="Z448" s="38">
        <v>300</v>
      </c>
      <c r="AA448" s="38">
        <v>50</v>
      </c>
      <c r="AB448" s="38">
        <v>10000</v>
      </c>
    </row>
    <row r="449" spans="1:28" s="38" customFormat="1">
      <c r="A449" s="38" t="str">
        <f t="shared" si="149"/>
        <v>PhyType.NewNpcType_6134</v>
      </c>
      <c r="B449" s="38" t="s">
        <v>137</v>
      </c>
      <c r="C449" s="38">
        <v>6134</v>
      </c>
      <c r="D449" s="38">
        <v>6134</v>
      </c>
      <c r="E449" s="39"/>
      <c r="F449" s="39"/>
      <c r="G449" s="40" t="s">
        <v>247</v>
      </c>
      <c r="H449" s="40" t="s">
        <v>231</v>
      </c>
      <c r="I449" s="41">
        <v>0</v>
      </c>
      <c r="J449" s="40"/>
      <c r="K449" s="38">
        <v>0</v>
      </c>
      <c r="L449" s="38">
        <v>0</v>
      </c>
      <c r="M449" s="38">
        <f t="shared" si="118"/>
        <v>0</v>
      </c>
      <c r="N449" s="38">
        <f t="shared" si="119"/>
        <v>0</v>
      </c>
      <c r="O449" s="38">
        <v>0</v>
      </c>
      <c r="P449" s="38">
        <v>0</v>
      </c>
      <c r="Q449" s="38">
        <v>12</v>
      </c>
      <c r="R449" s="38">
        <v>12</v>
      </c>
      <c r="S449" s="38">
        <f t="shared" si="129"/>
        <v>18</v>
      </c>
      <c r="T449" s="38">
        <f t="shared" si="130"/>
        <v>18</v>
      </c>
      <c r="U449" s="42">
        <f t="shared" si="150"/>
        <v>64000</v>
      </c>
      <c r="V449" s="38">
        <v>1</v>
      </c>
      <c r="W449" s="38">
        <v>10</v>
      </c>
      <c r="X449" s="38">
        <v>10</v>
      </c>
      <c r="Y449" s="38">
        <v>75</v>
      </c>
      <c r="Z449" s="38">
        <v>300</v>
      </c>
      <c r="AA449" s="38">
        <v>50</v>
      </c>
      <c r="AB449" s="38">
        <v>10000</v>
      </c>
    </row>
    <row r="450" spans="1:28" s="38" customFormat="1">
      <c r="A450" s="38" t="str">
        <f t="shared" si="149"/>
        <v>PhyType.NewNpcType_6135</v>
      </c>
      <c r="B450" s="38" t="s">
        <v>137</v>
      </c>
      <c r="C450" s="38">
        <v>6135</v>
      </c>
      <c r="D450" s="38">
        <v>6135</v>
      </c>
      <c r="E450" s="39"/>
      <c r="F450" s="39"/>
      <c r="G450" s="40" t="s">
        <v>248</v>
      </c>
      <c r="H450" s="40" t="s">
        <v>231</v>
      </c>
      <c r="I450" s="41">
        <v>0</v>
      </c>
      <c r="J450" s="40"/>
      <c r="K450" s="38">
        <v>0</v>
      </c>
      <c r="L450" s="38">
        <v>0</v>
      </c>
      <c r="M450" s="38">
        <f t="shared" si="118"/>
        <v>0</v>
      </c>
      <c r="N450" s="38">
        <f t="shared" si="119"/>
        <v>0</v>
      </c>
      <c r="O450" s="38">
        <v>0</v>
      </c>
      <c r="P450" s="38">
        <v>0</v>
      </c>
      <c r="Q450" s="38">
        <v>15</v>
      </c>
      <c r="R450" s="38">
        <v>15</v>
      </c>
      <c r="S450" s="38">
        <f t="shared" si="129"/>
        <v>22</v>
      </c>
      <c r="T450" s="38">
        <f t="shared" si="130"/>
        <v>22</v>
      </c>
      <c r="U450" s="42">
        <f t="shared" si="150"/>
        <v>72000</v>
      </c>
      <c r="V450" s="38">
        <v>1</v>
      </c>
      <c r="W450" s="38">
        <v>10</v>
      </c>
      <c r="X450" s="38">
        <v>10</v>
      </c>
      <c r="Y450" s="38">
        <v>75</v>
      </c>
      <c r="Z450" s="38">
        <v>300</v>
      </c>
      <c r="AA450" s="38">
        <v>50</v>
      </c>
      <c r="AB450" s="38">
        <v>10000</v>
      </c>
    </row>
    <row r="451" spans="1:28" s="38" customFormat="1">
      <c r="A451" s="38" t="str">
        <f t="shared" si="149"/>
        <v>PhyType.NewNpcType_6136</v>
      </c>
      <c r="B451" s="38" t="s">
        <v>137</v>
      </c>
      <c r="C451" s="38">
        <v>6136</v>
      </c>
      <c r="D451" s="38">
        <v>6136</v>
      </c>
      <c r="E451" s="39"/>
      <c r="F451" s="39"/>
      <c r="G451" s="40" t="s">
        <v>249</v>
      </c>
      <c r="H451" s="40" t="s">
        <v>231</v>
      </c>
      <c r="I451" s="41">
        <v>0</v>
      </c>
      <c r="J451" s="40"/>
      <c r="K451" s="38">
        <v>0</v>
      </c>
      <c r="L451" s="38">
        <v>0</v>
      </c>
      <c r="M451" s="38">
        <f t="shared" si="118"/>
        <v>0</v>
      </c>
      <c r="N451" s="38">
        <f t="shared" si="119"/>
        <v>0</v>
      </c>
      <c r="O451" s="38">
        <v>0</v>
      </c>
      <c r="P451" s="38">
        <v>0</v>
      </c>
      <c r="Q451" s="38">
        <v>18</v>
      </c>
      <c r="R451" s="38">
        <v>18</v>
      </c>
      <c r="S451" s="38">
        <f t="shared" si="129"/>
        <v>27</v>
      </c>
      <c r="T451" s="38">
        <f t="shared" si="130"/>
        <v>27</v>
      </c>
      <c r="U451" s="42">
        <f t="shared" si="150"/>
        <v>80000</v>
      </c>
      <c r="V451" s="38">
        <v>1</v>
      </c>
      <c r="W451" s="38">
        <v>10</v>
      </c>
      <c r="X451" s="38">
        <v>10</v>
      </c>
      <c r="Y451" s="38">
        <v>75</v>
      </c>
      <c r="Z451" s="38">
        <v>300</v>
      </c>
      <c r="AA451" s="38">
        <v>50</v>
      </c>
      <c r="AB451" s="38">
        <v>10000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"/>
  <sheetViews>
    <sheetView workbookViewId="0">
      <selection activeCell="K12" sqref="K12"/>
    </sheetView>
  </sheetViews>
  <sheetFormatPr defaultRowHeight="13.5"/>
  <sheetData>
    <row r="1" spans="1:18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63</v>
      </c>
      <c r="Q1" t="s">
        <v>64</v>
      </c>
      <c r="R1" t="s">
        <v>65</v>
      </c>
    </row>
    <row r="2" spans="1:18">
      <c r="A2" t="s">
        <v>84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-3</v>
      </c>
      <c r="P2">
        <v>0</v>
      </c>
      <c r="Q2">
        <v>0</v>
      </c>
      <c r="R2">
        <v>0</v>
      </c>
    </row>
    <row r="3" spans="1:18">
      <c r="A3" t="s">
        <v>86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-2</v>
      </c>
      <c r="P3">
        <v>0</v>
      </c>
      <c r="Q3">
        <v>0</v>
      </c>
      <c r="R3">
        <v>0</v>
      </c>
    </row>
    <row r="4" spans="1:18">
      <c r="A4" t="s">
        <v>121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-1</v>
      </c>
      <c r="P4">
        <v>0</v>
      </c>
      <c r="Q4">
        <v>0</v>
      </c>
      <c r="R4">
        <v>0</v>
      </c>
    </row>
    <row r="5" spans="1:18">
      <c r="A5" t="s">
        <v>81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t="s">
        <v>83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t="s">
        <v>90</v>
      </c>
      <c r="B7">
        <v>-2</v>
      </c>
      <c r="C7">
        <v>-2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t="s">
        <v>92</v>
      </c>
      <c r="B8">
        <v>3</v>
      </c>
      <c r="C8">
        <v>3</v>
      </c>
      <c r="D8">
        <v>0</v>
      </c>
      <c r="E8">
        <v>0</v>
      </c>
      <c r="F8">
        <v>0</v>
      </c>
      <c r="G8">
        <v>0</v>
      </c>
      <c r="H8">
        <v>1</v>
      </c>
      <c r="I8">
        <v>1</v>
      </c>
      <c r="J8">
        <v>2</v>
      </c>
      <c r="K8">
        <v>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t="s">
        <v>94</v>
      </c>
      <c r="B9">
        <v>3</v>
      </c>
      <c r="C9">
        <v>3</v>
      </c>
      <c r="D9">
        <v>0</v>
      </c>
      <c r="E9">
        <v>0</v>
      </c>
      <c r="F9">
        <v>0</v>
      </c>
      <c r="G9">
        <v>0</v>
      </c>
      <c r="H9">
        <v>1</v>
      </c>
      <c r="I9">
        <v>1</v>
      </c>
      <c r="J9">
        <v>2</v>
      </c>
      <c r="K9">
        <v>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t="s">
        <v>128</v>
      </c>
      <c r="B10">
        <v>4</v>
      </c>
      <c r="C10">
        <v>4</v>
      </c>
      <c r="D10">
        <v>0</v>
      </c>
      <c r="E10">
        <v>0</v>
      </c>
      <c r="F10">
        <v>0</v>
      </c>
      <c r="G10">
        <v>0</v>
      </c>
      <c r="H10">
        <v>1</v>
      </c>
      <c r="I10">
        <v>1</v>
      </c>
      <c r="J10">
        <v>2</v>
      </c>
      <c r="K10">
        <v>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t="s">
        <v>96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t="s">
        <v>302</v>
      </c>
      <c r="B12">
        <v>5</v>
      </c>
      <c r="C12">
        <v>5</v>
      </c>
      <c r="D12">
        <v>0</v>
      </c>
      <c r="E12">
        <v>0</v>
      </c>
      <c r="F12">
        <v>0</v>
      </c>
      <c r="G12">
        <v>0</v>
      </c>
      <c r="H12">
        <v>1</v>
      </c>
      <c r="I12">
        <v>1</v>
      </c>
      <c r="J12">
        <v>2</v>
      </c>
      <c r="K12">
        <v>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96"/>
  <sheetViews>
    <sheetView workbookViewId="0">
      <pane xSplit="1" ySplit="3" topLeftCell="B40" activePane="bottomRight" state="frozen"/>
      <selection pane="topRight" activeCell="D1" sqref="D1"/>
      <selection pane="bottomLeft" activeCell="A4" sqref="A4"/>
      <selection pane="bottomRight" activeCell="D60" sqref="D60"/>
    </sheetView>
  </sheetViews>
  <sheetFormatPr defaultRowHeight="13.5"/>
  <cols>
    <col min="1" max="1" width="11.125" customWidth="1"/>
    <col min="2" max="2" width="31.625" customWidth="1"/>
    <col min="3" max="3" width="22.5" customWidth="1"/>
  </cols>
  <sheetData>
    <row r="1" spans="1:20">
      <c r="A1" t="s">
        <v>15</v>
      </c>
      <c r="B1" t="s">
        <v>16</v>
      </c>
      <c r="C1" t="s">
        <v>79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63</v>
      </c>
      <c r="S1" t="s">
        <v>64</v>
      </c>
      <c r="T1" t="s">
        <v>65</v>
      </c>
    </row>
    <row r="2" spans="1:20">
      <c r="A2" t="s">
        <v>17</v>
      </c>
      <c r="B2" t="s">
        <v>17</v>
      </c>
      <c r="C2" t="s">
        <v>78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</row>
    <row r="3" spans="1:20">
      <c r="B3" t="s">
        <v>18</v>
      </c>
      <c r="C3" t="s">
        <v>80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>
      <c r="A4">
        <v>11</v>
      </c>
      <c r="B4" t="s">
        <v>19</v>
      </c>
    </row>
    <row r="5" spans="1:20">
      <c r="A5">
        <v>1</v>
      </c>
      <c r="B5" t="s">
        <v>20</v>
      </c>
    </row>
    <row r="6" spans="1:20">
      <c r="A6">
        <v>100</v>
      </c>
      <c r="B6" t="s">
        <v>21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9999</v>
      </c>
      <c r="O6">
        <v>0</v>
      </c>
      <c r="P6">
        <v>5</v>
      </c>
      <c r="Q6">
        <v>5</v>
      </c>
      <c r="R6">
        <v>75</v>
      </c>
      <c r="S6">
        <v>300</v>
      </c>
      <c r="T6">
        <v>50</v>
      </c>
    </row>
    <row r="7" spans="1:20">
      <c r="A7">
        <v>6</v>
      </c>
      <c r="B7" t="s">
        <v>22</v>
      </c>
      <c r="D7">
        <v>2</v>
      </c>
      <c r="E7">
        <v>4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50</v>
      </c>
      <c r="O7">
        <v>0</v>
      </c>
      <c r="P7">
        <v>5</v>
      </c>
      <c r="Q7">
        <v>10</v>
      </c>
      <c r="R7">
        <v>75</v>
      </c>
      <c r="S7">
        <v>300</v>
      </c>
      <c r="T7">
        <v>50</v>
      </c>
    </row>
    <row r="8" spans="1:20" s="2" customFormat="1">
      <c r="A8" s="3">
        <v>101</v>
      </c>
      <c r="B8" s="2" t="s">
        <v>23</v>
      </c>
      <c r="C8" s="2" t="s">
        <v>85</v>
      </c>
      <c r="D8" s="2">
        <f>1</f>
        <v>1</v>
      </c>
      <c r="E8" s="2">
        <v>2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15</v>
      </c>
      <c r="O8" s="2">
        <v>0</v>
      </c>
      <c r="P8" s="2">
        <v>5</v>
      </c>
      <c r="Q8" s="2">
        <v>10</v>
      </c>
      <c r="R8" s="2">
        <v>75</v>
      </c>
      <c r="S8" s="2">
        <v>300</v>
      </c>
      <c r="T8" s="2">
        <v>50</v>
      </c>
    </row>
    <row r="9" spans="1:20" s="2" customFormat="1">
      <c r="A9" s="3">
        <v>102</v>
      </c>
      <c r="B9" s="2" t="s">
        <v>24</v>
      </c>
      <c r="C9" s="2" t="s">
        <v>85</v>
      </c>
      <c r="D9" s="2">
        <v>2</v>
      </c>
      <c r="E9" s="2">
        <v>4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23</v>
      </c>
      <c r="O9" s="2">
        <v>0</v>
      </c>
      <c r="P9" s="2">
        <v>5</v>
      </c>
      <c r="Q9" s="2">
        <v>10</v>
      </c>
      <c r="R9" s="2">
        <v>75</v>
      </c>
      <c r="S9" s="2">
        <v>300</v>
      </c>
      <c r="T9" s="2">
        <v>50</v>
      </c>
    </row>
    <row r="10" spans="1:20" s="2" customFormat="1">
      <c r="A10" s="3">
        <v>103</v>
      </c>
      <c r="B10" s="2" t="s">
        <v>71</v>
      </c>
      <c r="C10" s="2" t="s">
        <v>85</v>
      </c>
      <c r="D10" s="2">
        <v>3</v>
      </c>
      <c r="E10" s="2">
        <v>7</v>
      </c>
      <c r="F10" s="2">
        <v>0</v>
      </c>
      <c r="G10" s="2">
        <v>0</v>
      </c>
      <c r="H10" s="2">
        <v>0</v>
      </c>
      <c r="I10" s="2">
        <v>0</v>
      </c>
      <c r="J10" s="2">
        <v>1</v>
      </c>
      <c r="K10" s="2">
        <v>1</v>
      </c>
      <c r="L10" s="2">
        <v>0</v>
      </c>
      <c r="M10" s="2">
        <v>0</v>
      </c>
      <c r="N10" s="2">
        <v>30</v>
      </c>
      <c r="O10" s="2">
        <v>0</v>
      </c>
      <c r="P10" s="2">
        <v>6</v>
      </c>
      <c r="Q10" s="2">
        <v>11</v>
      </c>
      <c r="R10" s="2">
        <v>75</v>
      </c>
      <c r="S10" s="2">
        <v>300</v>
      </c>
      <c r="T10" s="2">
        <v>50</v>
      </c>
    </row>
    <row r="11" spans="1:20" s="2" customFormat="1">
      <c r="A11" s="3">
        <v>104</v>
      </c>
      <c r="B11" s="2" t="s">
        <v>25</v>
      </c>
      <c r="C11" s="2" t="s">
        <v>88</v>
      </c>
      <c r="D11" s="2">
        <v>5</v>
      </c>
      <c r="E11" s="2">
        <v>12</v>
      </c>
      <c r="F11" s="2">
        <v>0</v>
      </c>
      <c r="G11" s="2">
        <v>0</v>
      </c>
      <c r="H11" s="2">
        <v>0</v>
      </c>
      <c r="I11" s="2">
        <v>0</v>
      </c>
      <c r="J11" s="2">
        <v>3</v>
      </c>
      <c r="K11" s="2">
        <v>3</v>
      </c>
      <c r="L11" s="2">
        <v>1</v>
      </c>
      <c r="M11" s="2">
        <v>1</v>
      </c>
      <c r="N11" s="2">
        <v>100</v>
      </c>
      <c r="O11" s="2">
        <v>0</v>
      </c>
      <c r="P11" s="2">
        <v>10</v>
      </c>
      <c r="Q11" s="2">
        <v>15</v>
      </c>
      <c r="R11" s="2">
        <v>75</v>
      </c>
      <c r="S11" s="2">
        <v>300</v>
      </c>
      <c r="T11" s="2">
        <v>50</v>
      </c>
    </row>
    <row r="12" spans="1:20" s="2" customFormat="1">
      <c r="A12" s="3">
        <v>1041</v>
      </c>
      <c r="B12" s="2" t="s">
        <v>66</v>
      </c>
      <c r="C12" s="2" t="s">
        <v>85</v>
      </c>
      <c r="D12" s="2">
        <v>4</v>
      </c>
      <c r="E12" s="2">
        <v>9</v>
      </c>
      <c r="F12" s="2">
        <v>0</v>
      </c>
      <c r="G12" s="2">
        <v>0</v>
      </c>
      <c r="H12" s="2">
        <v>0</v>
      </c>
      <c r="I12" s="2">
        <v>0</v>
      </c>
      <c r="J12" s="2">
        <v>1</v>
      </c>
      <c r="K12" s="2">
        <v>1</v>
      </c>
      <c r="L12" s="2">
        <v>0</v>
      </c>
      <c r="M12" s="2">
        <v>0</v>
      </c>
      <c r="N12" s="2">
        <v>35</v>
      </c>
      <c r="O12" s="2">
        <v>0</v>
      </c>
      <c r="P12" s="2">
        <v>10</v>
      </c>
      <c r="Q12" s="2">
        <v>12</v>
      </c>
      <c r="R12" s="2">
        <v>75</v>
      </c>
      <c r="S12" s="2">
        <v>300</v>
      </c>
      <c r="T12" s="2">
        <v>50</v>
      </c>
    </row>
    <row r="13" spans="1:20" s="2" customFormat="1">
      <c r="A13" s="3">
        <v>1042</v>
      </c>
      <c r="B13" s="2" t="s">
        <v>67</v>
      </c>
      <c r="C13" s="2" t="s">
        <v>87</v>
      </c>
      <c r="D13" s="2">
        <v>5</v>
      </c>
      <c r="E13" s="2">
        <v>11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1</v>
      </c>
      <c r="L13" s="2">
        <v>0</v>
      </c>
      <c r="M13" s="2">
        <v>0</v>
      </c>
      <c r="N13" s="2">
        <v>45</v>
      </c>
      <c r="O13" s="2">
        <v>0</v>
      </c>
      <c r="P13" s="2">
        <v>10</v>
      </c>
      <c r="Q13" s="2">
        <v>12</v>
      </c>
      <c r="R13" s="2">
        <v>75</v>
      </c>
      <c r="S13" s="2">
        <v>300</v>
      </c>
      <c r="T13" s="2">
        <v>50</v>
      </c>
    </row>
    <row r="14" spans="1:20" s="2" customFormat="1">
      <c r="A14" s="3">
        <v>105</v>
      </c>
      <c r="B14" s="2" t="s">
        <v>68</v>
      </c>
      <c r="C14" s="2" t="s">
        <v>88</v>
      </c>
      <c r="D14" s="2">
        <v>15</v>
      </c>
      <c r="E14" s="2">
        <v>32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300</v>
      </c>
      <c r="O14" s="2">
        <v>0</v>
      </c>
      <c r="P14" s="2">
        <v>13</v>
      </c>
      <c r="Q14" s="2">
        <v>15</v>
      </c>
      <c r="R14" s="2">
        <v>75</v>
      </c>
      <c r="S14" s="2">
        <v>300</v>
      </c>
      <c r="T14" s="2">
        <v>50</v>
      </c>
    </row>
    <row r="15" spans="1:20" s="2" customFormat="1">
      <c r="A15" s="3">
        <v>1051</v>
      </c>
      <c r="B15" s="2" t="s">
        <v>69</v>
      </c>
      <c r="C15" s="2" t="s">
        <v>85</v>
      </c>
      <c r="D15" s="2">
        <v>6</v>
      </c>
      <c r="E15" s="2">
        <v>13</v>
      </c>
      <c r="F15" s="2">
        <v>0</v>
      </c>
      <c r="G15" s="2">
        <v>0</v>
      </c>
      <c r="H15" s="2">
        <v>0</v>
      </c>
      <c r="I15" s="2">
        <v>0</v>
      </c>
      <c r="J15" s="2">
        <v>2</v>
      </c>
      <c r="K15" s="2">
        <v>2</v>
      </c>
      <c r="L15" s="2">
        <v>1</v>
      </c>
      <c r="M15" s="2">
        <v>1</v>
      </c>
      <c r="N15" s="2">
        <v>65</v>
      </c>
      <c r="O15" s="2">
        <v>0</v>
      </c>
      <c r="P15" s="2">
        <v>13</v>
      </c>
      <c r="Q15" s="2">
        <v>13</v>
      </c>
      <c r="R15" s="2">
        <v>75</v>
      </c>
      <c r="S15" s="2">
        <v>300</v>
      </c>
      <c r="T15" s="2">
        <v>50</v>
      </c>
    </row>
    <row r="16" spans="1:20" s="2" customFormat="1">
      <c r="A16" s="3">
        <v>1052</v>
      </c>
      <c r="B16" s="2" t="s">
        <v>70</v>
      </c>
      <c r="C16" s="2" t="s">
        <v>88</v>
      </c>
      <c r="D16" s="2">
        <v>6</v>
      </c>
      <c r="E16" s="2">
        <v>13</v>
      </c>
      <c r="F16" s="2">
        <v>0</v>
      </c>
      <c r="G16" s="2">
        <v>0</v>
      </c>
      <c r="H16" s="2">
        <v>0</v>
      </c>
      <c r="I16" s="2">
        <v>0</v>
      </c>
      <c r="J16" s="2">
        <v>2</v>
      </c>
      <c r="K16" s="2">
        <v>2</v>
      </c>
      <c r="L16" s="2">
        <v>1</v>
      </c>
      <c r="M16" s="2">
        <v>1</v>
      </c>
      <c r="N16" s="2">
        <v>65</v>
      </c>
      <c r="O16" s="2">
        <v>0</v>
      </c>
      <c r="P16" s="2">
        <v>13</v>
      </c>
      <c r="Q16" s="2">
        <v>13</v>
      </c>
      <c r="R16" s="2">
        <v>75</v>
      </c>
      <c r="S16" s="2">
        <v>300</v>
      </c>
      <c r="T16" s="2">
        <v>50</v>
      </c>
    </row>
    <row r="17" spans="1:20" s="2" customFormat="1">
      <c r="A17" s="3">
        <v>106</v>
      </c>
      <c r="B17" s="2" t="s">
        <v>26</v>
      </c>
      <c r="C17" s="2" t="s">
        <v>85</v>
      </c>
      <c r="D17" s="2">
        <v>2</v>
      </c>
      <c r="E17" s="2">
        <v>4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15</v>
      </c>
      <c r="O17" s="2">
        <v>0</v>
      </c>
      <c r="P17" s="2">
        <v>12</v>
      </c>
      <c r="Q17" s="2">
        <v>4</v>
      </c>
      <c r="R17" s="2">
        <v>75</v>
      </c>
      <c r="S17" s="2">
        <v>300</v>
      </c>
      <c r="T17" s="2">
        <v>50</v>
      </c>
    </row>
    <row r="18" spans="1:20" s="2" customFormat="1">
      <c r="A18" s="3">
        <v>107</v>
      </c>
      <c r="B18" s="2" t="s">
        <v>27</v>
      </c>
      <c r="C18" s="2" t="s">
        <v>89</v>
      </c>
      <c r="D18" s="2">
        <v>5</v>
      </c>
      <c r="E18" s="2">
        <v>12</v>
      </c>
      <c r="F18" s="2">
        <v>0</v>
      </c>
      <c r="G18" s="2">
        <v>0</v>
      </c>
      <c r="H18" s="2">
        <v>0</v>
      </c>
      <c r="I18" s="2">
        <v>0</v>
      </c>
      <c r="J18" s="2">
        <v>2</v>
      </c>
      <c r="K18" s="2">
        <v>2</v>
      </c>
      <c r="L18" s="2">
        <v>1</v>
      </c>
      <c r="M18" s="2">
        <v>1</v>
      </c>
      <c r="N18" s="2">
        <v>155</v>
      </c>
      <c r="O18" s="2">
        <v>0</v>
      </c>
      <c r="P18" s="2">
        <v>12</v>
      </c>
      <c r="Q18" s="2">
        <v>15</v>
      </c>
      <c r="R18" s="2">
        <v>75</v>
      </c>
      <c r="S18" s="2">
        <v>300</v>
      </c>
      <c r="T18" s="2">
        <v>50</v>
      </c>
    </row>
    <row r="19" spans="1:20" s="2" customFormat="1">
      <c r="A19" s="3">
        <v>108</v>
      </c>
      <c r="B19" s="2" t="s">
        <v>110</v>
      </c>
      <c r="C19" s="2" t="s">
        <v>89</v>
      </c>
      <c r="D19" s="2">
        <v>5</v>
      </c>
      <c r="E19" s="2">
        <v>15</v>
      </c>
      <c r="F19" s="2">
        <v>0</v>
      </c>
      <c r="G19" s="2">
        <v>0</v>
      </c>
      <c r="H19" s="2">
        <v>0</v>
      </c>
      <c r="I19" s="2">
        <v>0</v>
      </c>
      <c r="J19" s="2">
        <v>2</v>
      </c>
      <c r="K19" s="2">
        <v>2</v>
      </c>
      <c r="L19" s="2">
        <v>1</v>
      </c>
      <c r="M19" s="2">
        <v>1</v>
      </c>
      <c r="N19" s="2">
        <v>155</v>
      </c>
      <c r="O19" s="2">
        <v>0</v>
      </c>
      <c r="P19" s="2">
        <v>12</v>
      </c>
      <c r="Q19" s="2">
        <v>15</v>
      </c>
      <c r="R19" s="2">
        <v>75</v>
      </c>
      <c r="S19" s="2">
        <v>300</v>
      </c>
      <c r="T19" s="2">
        <v>50</v>
      </c>
    </row>
    <row r="20" spans="1:20" s="2" customFormat="1">
      <c r="A20" s="3">
        <v>109</v>
      </c>
      <c r="B20" s="2" t="s">
        <v>28</v>
      </c>
      <c r="C20" s="2" t="s">
        <v>89</v>
      </c>
      <c r="D20" s="2">
        <v>8</v>
      </c>
      <c r="E20" s="2">
        <v>15</v>
      </c>
      <c r="F20" s="2">
        <v>0</v>
      </c>
      <c r="G20" s="2">
        <v>0</v>
      </c>
      <c r="H20" s="2">
        <v>0</v>
      </c>
      <c r="I20" s="2">
        <v>0</v>
      </c>
      <c r="J20" s="2">
        <v>2</v>
      </c>
      <c r="K20" s="2">
        <v>2</v>
      </c>
      <c r="L20" s="2">
        <v>1</v>
      </c>
      <c r="M20" s="2">
        <v>1</v>
      </c>
      <c r="N20" s="2">
        <v>155</v>
      </c>
      <c r="O20" s="2">
        <v>0</v>
      </c>
      <c r="P20" s="2">
        <v>12</v>
      </c>
      <c r="Q20" s="2">
        <v>15</v>
      </c>
      <c r="R20" s="2">
        <v>75</v>
      </c>
      <c r="S20" s="2">
        <v>300</v>
      </c>
      <c r="T20" s="2">
        <v>50</v>
      </c>
    </row>
    <row r="21" spans="1:20" s="2" customFormat="1">
      <c r="A21" s="3">
        <v>110</v>
      </c>
      <c r="B21" s="2" t="s">
        <v>29</v>
      </c>
      <c r="C21" s="2" t="s">
        <v>89</v>
      </c>
      <c r="D21" s="2">
        <v>8</v>
      </c>
      <c r="E21" s="2">
        <v>17</v>
      </c>
      <c r="F21" s="2">
        <v>0</v>
      </c>
      <c r="G21" s="2">
        <v>0</v>
      </c>
      <c r="H21" s="2">
        <v>0</v>
      </c>
      <c r="I21" s="2">
        <v>0</v>
      </c>
      <c r="J21" s="2">
        <v>2</v>
      </c>
      <c r="K21" s="2">
        <v>2</v>
      </c>
      <c r="L21" s="2">
        <v>2</v>
      </c>
      <c r="M21" s="2">
        <v>2</v>
      </c>
      <c r="N21" s="2">
        <v>155</v>
      </c>
      <c r="O21" s="2">
        <v>0</v>
      </c>
      <c r="P21" s="2">
        <v>12</v>
      </c>
      <c r="Q21" s="2">
        <v>15</v>
      </c>
      <c r="R21" s="2">
        <v>75</v>
      </c>
      <c r="S21" s="2">
        <v>300</v>
      </c>
      <c r="T21" s="2">
        <v>50</v>
      </c>
    </row>
    <row r="22" spans="1:20" s="2" customFormat="1">
      <c r="A22" s="3">
        <v>111</v>
      </c>
      <c r="B22" s="2" t="s">
        <v>30</v>
      </c>
      <c r="C22" s="2" t="s">
        <v>89</v>
      </c>
      <c r="D22" s="2">
        <v>4</v>
      </c>
      <c r="E22" s="2">
        <v>6</v>
      </c>
      <c r="F22" s="2">
        <v>0</v>
      </c>
      <c r="G22" s="2">
        <v>0</v>
      </c>
      <c r="H22" s="2">
        <v>0</v>
      </c>
      <c r="I22" s="2">
        <v>0</v>
      </c>
      <c r="J22" s="2">
        <v>2</v>
      </c>
      <c r="K22" s="2">
        <v>2</v>
      </c>
      <c r="L22" s="2">
        <v>0</v>
      </c>
      <c r="M22" s="2">
        <v>0</v>
      </c>
      <c r="N22" s="2">
        <v>25</v>
      </c>
      <c r="O22" s="2">
        <v>0</v>
      </c>
      <c r="P22" s="2">
        <v>11</v>
      </c>
      <c r="Q22" s="2">
        <v>25</v>
      </c>
      <c r="R22" s="2">
        <v>75</v>
      </c>
      <c r="S22" s="2">
        <v>300</v>
      </c>
      <c r="T22" s="2">
        <v>50</v>
      </c>
    </row>
    <row r="23" spans="1:20" s="2" customFormat="1">
      <c r="A23" s="3">
        <v>112</v>
      </c>
      <c r="B23" s="2" t="s">
        <v>31</v>
      </c>
      <c r="C23" s="2" t="s">
        <v>91</v>
      </c>
      <c r="D23" s="2">
        <v>9</v>
      </c>
      <c r="E23" s="2">
        <v>16</v>
      </c>
      <c r="F23" s="2">
        <v>0</v>
      </c>
      <c r="G23" s="2">
        <v>0</v>
      </c>
      <c r="H23" s="2">
        <v>0</v>
      </c>
      <c r="I23" s="2">
        <v>0</v>
      </c>
      <c r="J23" s="2">
        <v>3</v>
      </c>
      <c r="K23" s="2">
        <v>3</v>
      </c>
      <c r="L23" s="2">
        <v>2</v>
      </c>
      <c r="M23" s="2">
        <v>2</v>
      </c>
      <c r="N23" s="2">
        <v>165</v>
      </c>
      <c r="O23" s="2">
        <v>0</v>
      </c>
      <c r="P23" s="2">
        <v>15</v>
      </c>
      <c r="Q23" s="2">
        <v>15</v>
      </c>
      <c r="R23" s="2">
        <v>75</v>
      </c>
      <c r="S23" s="2">
        <v>300</v>
      </c>
      <c r="T23" s="2">
        <v>50</v>
      </c>
    </row>
    <row r="24" spans="1:20" s="2" customFormat="1">
      <c r="A24" s="3">
        <v>113</v>
      </c>
      <c r="B24" s="2" t="s">
        <v>160</v>
      </c>
      <c r="C24" s="2" t="s">
        <v>91</v>
      </c>
      <c r="D24" s="2">
        <v>14</v>
      </c>
      <c r="E24" s="2">
        <v>28</v>
      </c>
      <c r="F24" s="2">
        <v>0</v>
      </c>
      <c r="G24" s="2">
        <v>0</v>
      </c>
      <c r="H24" s="2">
        <v>0</v>
      </c>
      <c r="I24" s="2">
        <v>0</v>
      </c>
      <c r="J24" s="2">
        <v>3</v>
      </c>
      <c r="K24" s="2">
        <v>3</v>
      </c>
      <c r="L24" s="2">
        <v>2</v>
      </c>
      <c r="M24" s="2">
        <v>2</v>
      </c>
      <c r="N24" s="2">
        <v>265</v>
      </c>
      <c r="O24" s="2">
        <v>0</v>
      </c>
      <c r="P24" s="2">
        <v>13</v>
      </c>
      <c r="Q24" s="2">
        <v>15</v>
      </c>
      <c r="R24" s="2">
        <v>75</v>
      </c>
      <c r="S24" s="2">
        <v>300</v>
      </c>
      <c r="T24" s="2">
        <v>50</v>
      </c>
    </row>
    <row r="25" spans="1:20" s="2" customFormat="1">
      <c r="A25" s="3">
        <v>114</v>
      </c>
      <c r="B25" s="2" t="s">
        <v>32</v>
      </c>
      <c r="C25" s="2" t="s">
        <v>91</v>
      </c>
      <c r="D25" s="2">
        <v>16</v>
      </c>
      <c r="E25" s="2">
        <v>28</v>
      </c>
      <c r="F25" s="2">
        <v>0</v>
      </c>
      <c r="G25" s="2">
        <v>0</v>
      </c>
      <c r="H25" s="2">
        <v>0</v>
      </c>
      <c r="I25" s="2">
        <v>0</v>
      </c>
      <c r="J25" s="2">
        <v>3</v>
      </c>
      <c r="K25" s="2">
        <v>3</v>
      </c>
      <c r="L25" s="2">
        <v>2</v>
      </c>
      <c r="M25" s="2">
        <v>2</v>
      </c>
      <c r="N25" s="2">
        <v>285</v>
      </c>
      <c r="O25" s="2">
        <v>0</v>
      </c>
      <c r="P25" s="2">
        <v>13</v>
      </c>
      <c r="Q25" s="2">
        <v>15</v>
      </c>
      <c r="R25" s="2">
        <v>75</v>
      </c>
      <c r="S25" s="2">
        <v>300</v>
      </c>
      <c r="T25" s="2">
        <v>50</v>
      </c>
    </row>
    <row r="26" spans="1:20" s="2" customFormat="1">
      <c r="A26" s="3">
        <v>115</v>
      </c>
      <c r="B26" s="2" t="s">
        <v>33</v>
      </c>
      <c r="C26" s="2" t="s">
        <v>91</v>
      </c>
      <c r="D26" s="2">
        <v>15</v>
      </c>
      <c r="E26" s="2">
        <v>29</v>
      </c>
      <c r="F26" s="2">
        <v>0</v>
      </c>
      <c r="G26" s="2">
        <v>0</v>
      </c>
      <c r="H26" s="2">
        <v>0</v>
      </c>
      <c r="I26" s="2">
        <v>0</v>
      </c>
      <c r="J26" s="2">
        <v>3</v>
      </c>
      <c r="K26" s="2">
        <v>3</v>
      </c>
      <c r="L26" s="2">
        <v>2</v>
      </c>
      <c r="M26" s="2">
        <v>2</v>
      </c>
      <c r="N26" s="2">
        <v>285</v>
      </c>
      <c r="O26" s="2">
        <v>0</v>
      </c>
      <c r="P26" s="2">
        <v>13</v>
      </c>
      <c r="Q26" s="2">
        <v>15</v>
      </c>
      <c r="R26" s="2">
        <v>75</v>
      </c>
      <c r="S26" s="2">
        <v>300</v>
      </c>
      <c r="T26" s="2">
        <v>50</v>
      </c>
    </row>
    <row r="27" spans="1:20" s="2" customFormat="1">
      <c r="A27" s="3">
        <v>116</v>
      </c>
      <c r="B27" s="2" t="s">
        <v>34</v>
      </c>
      <c r="C27" s="2" t="s">
        <v>91</v>
      </c>
      <c r="D27" s="2">
        <v>14</v>
      </c>
      <c r="E27" s="2">
        <v>26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340</v>
      </c>
      <c r="O27" s="2">
        <v>0</v>
      </c>
      <c r="P27" s="2">
        <v>20</v>
      </c>
      <c r="Q27" s="2">
        <v>20</v>
      </c>
      <c r="R27" s="2">
        <v>75</v>
      </c>
      <c r="S27" s="2">
        <v>300</v>
      </c>
      <c r="T27" s="2">
        <v>50</v>
      </c>
    </row>
    <row r="28" spans="1:20" s="2" customFormat="1">
      <c r="A28" s="3">
        <v>117</v>
      </c>
      <c r="B28" s="2" t="s">
        <v>35</v>
      </c>
      <c r="C28" s="2" t="s">
        <v>82</v>
      </c>
      <c r="D28" s="2">
        <v>4</v>
      </c>
      <c r="E28" s="2">
        <v>10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50</v>
      </c>
      <c r="O28" s="2">
        <v>0</v>
      </c>
      <c r="P28" s="2">
        <v>7</v>
      </c>
      <c r="Q28" s="2">
        <v>12</v>
      </c>
      <c r="R28" s="2">
        <v>75</v>
      </c>
      <c r="S28" s="2">
        <v>300</v>
      </c>
      <c r="T28" s="2">
        <v>50</v>
      </c>
    </row>
    <row r="29" spans="1:20" s="2" customFormat="1">
      <c r="A29" s="3">
        <v>138</v>
      </c>
      <c r="B29" s="2" t="s">
        <v>163</v>
      </c>
      <c r="C29" s="2" t="s">
        <v>82</v>
      </c>
      <c r="D29" s="2">
        <v>5</v>
      </c>
      <c r="E29" s="2">
        <v>8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46</v>
      </c>
      <c r="O29" s="2">
        <v>0</v>
      </c>
      <c r="P29" s="2">
        <v>10</v>
      </c>
      <c r="Q29" s="2">
        <v>12</v>
      </c>
      <c r="R29" s="2">
        <v>75</v>
      </c>
      <c r="S29" s="2">
        <v>300</v>
      </c>
      <c r="T29" s="2">
        <v>50</v>
      </c>
    </row>
    <row r="30" spans="1:20" s="2" customFormat="1">
      <c r="A30" s="3">
        <v>118</v>
      </c>
      <c r="B30" s="2" t="s">
        <v>36</v>
      </c>
      <c r="C30" s="2" t="s">
        <v>82</v>
      </c>
      <c r="D30" s="2">
        <v>6</v>
      </c>
      <c r="E30" s="2">
        <v>9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37</v>
      </c>
      <c r="O30" s="2">
        <v>0</v>
      </c>
      <c r="P30" s="2">
        <v>10</v>
      </c>
      <c r="Q30" s="2">
        <v>13</v>
      </c>
      <c r="R30" s="2">
        <v>75</v>
      </c>
      <c r="S30" s="2">
        <v>300</v>
      </c>
      <c r="T30" s="2">
        <v>50</v>
      </c>
    </row>
    <row r="31" spans="1:20" s="2" customFormat="1">
      <c r="A31" s="3">
        <v>119</v>
      </c>
      <c r="B31" s="2" t="s">
        <v>37</v>
      </c>
      <c r="C31" s="2" t="s">
        <v>82</v>
      </c>
      <c r="D31" s="2">
        <v>7</v>
      </c>
      <c r="E31" s="2">
        <v>8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52</v>
      </c>
      <c r="O31" s="2">
        <v>0</v>
      </c>
      <c r="P31" s="2">
        <v>10</v>
      </c>
      <c r="Q31" s="2">
        <v>13</v>
      </c>
      <c r="R31" s="2">
        <v>75</v>
      </c>
      <c r="S31" s="2">
        <v>300</v>
      </c>
      <c r="T31" s="2">
        <v>50</v>
      </c>
    </row>
    <row r="32" spans="1:20" s="2" customFormat="1">
      <c r="A32" s="3">
        <v>120</v>
      </c>
      <c r="B32" s="2" t="s">
        <v>38</v>
      </c>
      <c r="C32" s="2" t="s">
        <v>93</v>
      </c>
      <c r="D32" s="2">
        <v>12</v>
      </c>
      <c r="E32" s="2">
        <v>18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5</v>
      </c>
      <c r="M32" s="2">
        <v>5</v>
      </c>
      <c r="N32" s="2">
        <v>230</v>
      </c>
      <c r="O32" s="2">
        <v>0</v>
      </c>
      <c r="P32" s="2">
        <v>13</v>
      </c>
      <c r="Q32" s="2">
        <v>15</v>
      </c>
      <c r="R32" s="2">
        <v>75</v>
      </c>
      <c r="S32" s="2">
        <v>300</v>
      </c>
      <c r="T32" s="2">
        <v>50</v>
      </c>
    </row>
    <row r="33" spans="1:20" s="2" customFormat="1">
      <c r="A33" s="3">
        <v>121</v>
      </c>
      <c r="B33" s="2" t="s">
        <v>39</v>
      </c>
      <c r="C33" s="2" t="s">
        <v>93</v>
      </c>
      <c r="D33" s="2">
        <v>15</v>
      </c>
      <c r="E33" s="2">
        <v>18</v>
      </c>
      <c r="F33" s="2">
        <v>0</v>
      </c>
      <c r="G33" s="2">
        <v>0</v>
      </c>
      <c r="H33" s="2">
        <v>0</v>
      </c>
      <c r="I33" s="2">
        <v>0</v>
      </c>
      <c r="J33" s="2">
        <v>3</v>
      </c>
      <c r="K33" s="2">
        <v>3</v>
      </c>
      <c r="L33" s="2">
        <v>3</v>
      </c>
      <c r="M33" s="2">
        <v>3</v>
      </c>
      <c r="N33" s="2">
        <v>200</v>
      </c>
      <c r="O33" s="2">
        <v>0</v>
      </c>
      <c r="P33" s="2">
        <v>13</v>
      </c>
      <c r="Q33" s="2">
        <v>15</v>
      </c>
      <c r="R33" s="2">
        <v>75</v>
      </c>
      <c r="S33" s="2">
        <v>300</v>
      </c>
      <c r="T33" s="2">
        <v>50</v>
      </c>
    </row>
    <row r="34" spans="1:20" s="2" customFormat="1">
      <c r="A34" s="3">
        <v>122</v>
      </c>
      <c r="B34" s="2" t="s">
        <v>40</v>
      </c>
      <c r="C34" s="2" t="s">
        <v>93</v>
      </c>
      <c r="D34" s="2">
        <v>15</v>
      </c>
      <c r="E34" s="2">
        <v>25</v>
      </c>
      <c r="F34" s="2">
        <v>0</v>
      </c>
      <c r="G34" s="2">
        <v>0</v>
      </c>
      <c r="H34" s="2">
        <v>0</v>
      </c>
      <c r="I34" s="2">
        <v>0</v>
      </c>
      <c r="J34" s="2">
        <v>5</v>
      </c>
      <c r="K34" s="2">
        <v>5</v>
      </c>
      <c r="L34" s="2">
        <v>7</v>
      </c>
      <c r="M34" s="2">
        <v>7</v>
      </c>
      <c r="N34" s="2">
        <v>270</v>
      </c>
      <c r="O34" s="2">
        <v>0</v>
      </c>
      <c r="P34" s="2">
        <v>13</v>
      </c>
      <c r="Q34" s="2">
        <v>15</v>
      </c>
      <c r="R34" s="2">
        <v>75</v>
      </c>
      <c r="S34" s="2">
        <v>300</v>
      </c>
      <c r="T34" s="2">
        <v>50</v>
      </c>
    </row>
    <row r="35" spans="1:20" s="2" customFormat="1">
      <c r="A35" s="3">
        <v>123</v>
      </c>
      <c r="B35" s="2" t="s">
        <v>41</v>
      </c>
      <c r="C35" s="2" t="s">
        <v>93</v>
      </c>
      <c r="D35" s="2">
        <v>12</v>
      </c>
      <c r="E35" s="2">
        <v>18</v>
      </c>
      <c r="F35" s="2">
        <v>0</v>
      </c>
      <c r="G35" s="2">
        <v>0</v>
      </c>
      <c r="H35" s="2">
        <v>0</v>
      </c>
      <c r="I35" s="2">
        <v>0</v>
      </c>
      <c r="J35" s="2">
        <v>3</v>
      </c>
      <c r="K35" s="2">
        <v>3</v>
      </c>
      <c r="L35" s="2">
        <v>3</v>
      </c>
      <c r="M35" s="2">
        <v>3</v>
      </c>
      <c r="N35" s="2">
        <v>200</v>
      </c>
      <c r="O35" s="2">
        <v>0</v>
      </c>
      <c r="P35" s="2">
        <v>13</v>
      </c>
      <c r="Q35" s="2">
        <v>15</v>
      </c>
      <c r="R35" s="2">
        <v>75</v>
      </c>
      <c r="S35" s="2">
        <v>300</v>
      </c>
      <c r="T35" s="2">
        <v>50</v>
      </c>
    </row>
    <row r="36" spans="1:20" s="2" customFormat="1">
      <c r="A36" s="3">
        <v>124</v>
      </c>
      <c r="B36" s="2" t="s">
        <v>42</v>
      </c>
      <c r="C36" s="2" t="s">
        <v>95</v>
      </c>
      <c r="D36" s="2">
        <v>10</v>
      </c>
      <c r="E36" s="2">
        <v>15</v>
      </c>
      <c r="F36" s="2">
        <v>0</v>
      </c>
      <c r="G36" s="2">
        <v>0</v>
      </c>
      <c r="H36" s="2">
        <v>0</v>
      </c>
      <c r="I36" s="2">
        <v>0</v>
      </c>
      <c r="J36" s="2">
        <v>5</v>
      </c>
      <c r="K36" s="2">
        <v>5</v>
      </c>
      <c r="L36" s="2">
        <v>0</v>
      </c>
      <c r="M36" s="2">
        <v>0</v>
      </c>
      <c r="N36" s="2">
        <v>230</v>
      </c>
      <c r="O36" s="2">
        <v>0</v>
      </c>
      <c r="P36" s="2">
        <v>13</v>
      </c>
      <c r="Q36" s="2">
        <v>15</v>
      </c>
      <c r="R36" s="2">
        <v>75</v>
      </c>
      <c r="S36" s="2">
        <v>300</v>
      </c>
      <c r="T36" s="2">
        <v>50</v>
      </c>
    </row>
    <row r="37" spans="1:20" s="2" customFormat="1">
      <c r="A37" s="3">
        <v>125</v>
      </c>
      <c r="B37" s="2" t="s">
        <v>43</v>
      </c>
      <c r="C37" s="2" t="s">
        <v>95</v>
      </c>
      <c r="D37" s="2">
        <v>18</v>
      </c>
      <c r="E37" s="2">
        <v>25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8</v>
      </c>
      <c r="M37" s="2">
        <v>8</v>
      </c>
      <c r="N37" s="2">
        <v>330</v>
      </c>
      <c r="O37" s="2">
        <v>0</v>
      </c>
      <c r="P37" s="2">
        <v>13</v>
      </c>
      <c r="Q37" s="2">
        <v>15</v>
      </c>
      <c r="R37" s="2">
        <v>75</v>
      </c>
      <c r="S37" s="2">
        <v>300</v>
      </c>
      <c r="T37" s="2">
        <v>50</v>
      </c>
    </row>
    <row r="38" spans="1:20" s="2" customFormat="1">
      <c r="A38" s="3">
        <v>126</v>
      </c>
      <c r="B38" s="2" t="s">
        <v>44</v>
      </c>
      <c r="C38" s="2" t="s">
        <v>95</v>
      </c>
      <c r="D38" s="2">
        <v>20</v>
      </c>
      <c r="E38" s="2">
        <v>26</v>
      </c>
      <c r="F38" s="2">
        <v>0</v>
      </c>
      <c r="G38" s="2">
        <v>0</v>
      </c>
      <c r="H38" s="2">
        <v>0</v>
      </c>
      <c r="I38" s="2">
        <v>0</v>
      </c>
      <c r="J38" s="2">
        <v>10</v>
      </c>
      <c r="K38" s="2">
        <v>10</v>
      </c>
      <c r="L38" s="2">
        <v>0</v>
      </c>
      <c r="M38" s="2">
        <v>0</v>
      </c>
      <c r="N38" s="2">
        <v>310</v>
      </c>
      <c r="O38" s="2">
        <v>0</v>
      </c>
      <c r="P38" s="2">
        <v>13</v>
      </c>
      <c r="Q38" s="2">
        <v>15</v>
      </c>
      <c r="R38" s="2">
        <v>75</v>
      </c>
      <c r="S38" s="2">
        <v>300</v>
      </c>
      <c r="T38" s="2">
        <v>50</v>
      </c>
    </row>
    <row r="39" spans="1:20" s="15" customFormat="1">
      <c r="A39" s="14">
        <v>127</v>
      </c>
      <c r="B39" s="14" t="s">
        <v>45</v>
      </c>
      <c r="C39" s="15" t="s">
        <v>95</v>
      </c>
      <c r="D39" s="15">
        <v>30</v>
      </c>
      <c r="E39" s="15">
        <v>55</v>
      </c>
      <c r="F39" s="15">
        <v>0</v>
      </c>
      <c r="G39" s="15">
        <v>0</v>
      </c>
      <c r="H39" s="15">
        <v>0</v>
      </c>
      <c r="I39" s="15">
        <v>0</v>
      </c>
      <c r="J39" s="15">
        <v>15</v>
      </c>
      <c r="K39" s="15">
        <v>15</v>
      </c>
      <c r="L39" s="15">
        <v>15</v>
      </c>
      <c r="M39" s="15">
        <v>15</v>
      </c>
      <c r="N39" s="15">
        <v>1000</v>
      </c>
      <c r="O39" s="15">
        <v>0</v>
      </c>
      <c r="P39" s="15">
        <v>17</v>
      </c>
      <c r="Q39" s="15">
        <v>25</v>
      </c>
      <c r="R39" s="15">
        <v>75</v>
      </c>
      <c r="S39" s="15">
        <v>300</v>
      </c>
      <c r="T39" s="15">
        <v>50</v>
      </c>
    </row>
    <row r="40" spans="1:20" s="15" customFormat="1">
      <c r="A40" s="14">
        <v>128</v>
      </c>
      <c r="B40" s="14" t="s">
        <v>46</v>
      </c>
      <c r="C40" s="14" t="s">
        <v>97</v>
      </c>
      <c r="D40" s="15">
        <v>40</v>
      </c>
      <c r="E40" s="15">
        <v>60</v>
      </c>
      <c r="F40" s="15">
        <v>0</v>
      </c>
      <c r="G40" s="15">
        <v>0</v>
      </c>
      <c r="H40" s="15">
        <v>0</v>
      </c>
      <c r="I40" s="15">
        <v>0</v>
      </c>
      <c r="J40" s="15">
        <v>20</v>
      </c>
      <c r="K40" s="15">
        <v>20</v>
      </c>
      <c r="L40" s="15">
        <v>20</v>
      </c>
      <c r="M40" s="15">
        <v>20</v>
      </c>
      <c r="N40" s="15">
        <v>1500</v>
      </c>
      <c r="O40" s="15">
        <v>0</v>
      </c>
      <c r="P40" s="15">
        <v>17</v>
      </c>
      <c r="Q40" s="15">
        <v>25</v>
      </c>
      <c r="R40" s="15">
        <v>75</v>
      </c>
      <c r="S40" s="15">
        <v>300</v>
      </c>
      <c r="T40" s="15">
        <v>50</v>
      </c>
    </row>
    <row r="41" spans="1:20" s="15" customFormat="1">
      <c r="A41" s="14">
        <v>129</v>
      </c>
      <c r="B41" s="14" t="s">
        <v>47</v>
      </c>
      <c r="C41" s="14" t="s">
        <v>97</v>
      </c>
      <c r="D41" s="15">
        <v>45</v>
      </c>
      <c r="E41" s="15">
        <v>65</v>
      </c>
      <c r="F41" s="15">
        <v>0</v>
      </c>
      <c r="G41" s="15">
        <v>0</v>
      </c>
      <c r="H41" s="15">
        <v>0</v>
      </c>
      <c r="I41" s="15">
        <v>0</v>
      </c>
      <c r="J41" s="15">
        <v>25</v>
      </c>
      <c r="K41" s="15">
        <v>25</v>
      </c>
      <c r="L41" s="15">
        <v>25</v>
      </c>
      <c r="M41" s="15">
        <v>25</v>
      </c>
      <c r="N41" s="15">
        <v>2000</v>
      </c>
      <c r="O41" s="15">
        <v>0</v>
      </c>
      <c r="P41" s="15">
        <v>17</v>
      </c>
      <c r="Q41" s="15">
        <v>25</v>
      </c>
      <c r="R41" s="15">
        <v>75</v>
      </c>
      <c r="S41" s="15">
        <v>300</v>
      </c>
      <c r="T41" s="15">
        <v>50</v>
      </c>
    </row>
    <row r="42" spans="1:20" s="2" customFormat="1">
      <c r="A42" s="3">
        <v>130</v>
      </c>
      <c r="B42" s="2" t="s">
        <v>115</v>
      </c>
      <c r="C42" s="3" t="s">
        <v>83</v>
      </c>
      <c r="D42" s="2">
        <v>5</v>
      </c>
      <c r="E42" s="2">
        <v>12</v>
      </c>
      <c r="F42" s="2">
        <v>0</v>
      </c>
      <c r="G42" s="2">
        <v>0</v>
      </c>
      <c r="H42" s="2">
        <v>0</v>
      </c>
      <c r="I42" s="2">
        <v>0</v>
      </c>
      <c r="J42" s="2">
        <v>2</v>
      </c>
      <c r="K42" s="2">
        <v>2</v>
      </c>
      <c r="L42" s="2">
        <v>1</v>
      </c>
      <c r="M42" s="2">
        <v>1</v>
      </c>
      <c r="N42" s="2">
        <v>77</v>
      </c>
      <c r="O42" s="2">
        <v>0</v>
      </c>
      <c r="P42" s="2">
        <v>5</v>
      </c>
      <c r="Q42" s="2">
        <v>10</v>
      </c>
      <c r="R42" s="2">
        <v>75</v>
      </c>
      <c r="S42" s="2">
        <v>300</v>
      </c>
      <c r="T42" s="2">
        <v>50</v>
      </c>
    </row>
    <row r="43" spans="1:20" s="2" customFormat="1">
      <c r="A43" s="3">
        <v>131</v>
      </c>
      <c r="B43" s="2" t="s">
        <v>116</v>
      </c>
      <c r="C43" s="3" t="s">
        <v>83</v>
      </c>
      <c r="D43" s="2">
        <v>5</v>
      </c>
      <c r="E43" s="2">
        <v>15</v>
      </c>
      <c r="F43" s="2">
        <v>0</v>
      </c>
      <c r="G43" s="2">
        <v>0</v>
      </c>
      <c r="H43" s="2">
        <v>0</v>
      </c>
      <c r="I43" s="2">
        <v>0</v>
      </c>
      <c r="J43" s="2">
        <v>2</v>
      </c>
      <c r="K43" s="2">
        <v>2</v>
      </c>
      <c r="L43" s="2">
        <v>1</v>
      </c>
      <c r="M43" s="2">
        <v>1</v>
      </c>
      <c r="N43" s="2">
        <v>77</v>
      </c>
      <c r="O43" s="2">
        <v>0</v>
      </c>
      <c r="P43" s="2">
        <v>5</v>
      </c>
      <c r="Q43" s="2">
        <v>10</v>
      </c>
      <c r="R43" s="2">
        <v>75</v>
      </c>
      <c r="S43" s="2">
        <v>300</v>
      </c>
      <c r="T43" s="2">
        <v>50</v>
      </c>
    </row>
    <row r="44" spans="1:20" s="2" customFormat="1">
      <c r="A44" s="3">
        <v>132</v>
      </c>
      <c r="B44" s="2" t="s">
        <v>115</v>
      </c>
      <c r="C44" s="3" t="s">
        <v>83</v>
      </c>
      <c r="D44" s="2">
        <v>5</v>
      </c>
      <c r="E44" s="2">
        <v>12</v>
      </c>
      <c r="F44" s="2">
        <v>0</v>
      </c>
      <c r="G44" s="2">
        <v>0</v>
      </c>
      <c r="H44" s="2">
        <v>0</v>
      </c>
      <c r="I44" s="2">
        <v>0</v>
      </c>
      <c r="J44" s="2">
        <v>2</v>
      </c>
      <c r="K44" s="2">
        <v>2</v>
      </c>
      <c r="L44" s="2">
        <v>1</v>
      </c>
      <c r="M44" s="2">
        <v>1</v>
      </c>
      <c r="N44" s="2">
        <v>38</v>
      </c>
      <c r="O44" s="2">
        <v>0</v>
      </c>
      <c r="P44" s="2">
        <v>5</v>
      </c>
      <c r="Q44" s="2">
        <v>10</v>
      </c>
      <c r="R44" s="2">
        <v>75</v>
      </c>
      <c r="S44" s="2">
        <v>300</v>
      </c>
      <c r="T44" s="2">
        <v>50</v>
      </c>
    </row>
    <row r="45" spans="1:20" s="2" customFormat="1">
      <c r="A45" s="3">
        <v>133</v>
      </c>
      <c r="B45" s="2" t="s">
        <v>116</v>
      </c>
      <c r="C45" s="3" t="s">
        <v>83</v>
      </c>
      <c r="D45" s="2">
        <v>5</v>
      </c>
      <c r="E45" s="2">
        <v>15</v>
      </c>
      <c r="F45" s="2">
        <v>0</v>
      </c>
      <c r="G45" s="2">
        <v>0</v>
      </c>
      <c r="H45" s="2">
        <v>0</v>
      </c>
      <c r="I45" s="2">
        <v>0</v>
      </c>
      <c r="J45" s="2">
        <v>2</v>
      </c>
      <c r="K45" s="2">
        <v>2</v>
      </c>
      <c r="L45" s="2">
        <v>1</v>
      </c>
      <c r="M45" s="2">
        <v>1</v>
      </c>
      <c r="N45" s="2">
        <v>38</v>
      </c>
      <c r="O45" s="2">
        <v>0</v>
      </c>
      <c r="P45" s="2">
        <v>5</v>
      </c>
      <c r="Q45" s="2">
        <v>10</v>
      </c>
      <c r="R45" s="2">
        <v>75</v>
      </c>
      <c r="S45" s="2">
        <v>300</v>
      </c>
      <c r="T45" s="2">
        <v>50</v>
      </c>
    </row>
    <row r="46" spans="1:20" s="2" customFormat="1">
      <c r="A46" s="3">
        <v>134</v>
      </c>
      <c r="B46" s="2" t="s">
        <v>123</v>
      </c>
      <c r="C46" s="2" t="s">
        <v>127</v>
      </c>
      <c r="D46" s="2">
        <v>12</v>
      </c>
      <c r="E46" s="2">
        <v>23</v>
      </c>
      <c r="F46" s="2">
        <v>0</v>
      </c>
      <c r="G46" s="2">
        <v>0</v>
      </c>
      <c r="H46" s="2">
        <v>0</v>
      </c>
      <c r="I46" s="2">
        <v>0</v>
      </c>
      <c r="J46" s="2">
        <v>3</v>
      </c>
      <c r="K46" s="2">
        <v>3</v>
      </c>
      <c r="L46" s="2">
        <v>5</v>
      </c>
      <c r="M46" s="2">
        <v>5</v>
      </c>
      <c r="N46" s="2">
        <v>385</v>
      </c>
      <c r="O46" s="2">
        <v>0</v>
      </c>
      <c r="P46" s="2">
        <v>12</v>
      </c>
      <c r="Q46" s="2">
        <v>15</v>
      </c>
      <c r="R46" s="2">
        <v>75</v>
      </c>
      <c r="S46" s="2">
        <v>300</v>
      </c>
      <c r="T46" s="2">
        <v>50</v>
      </c>
    </row>
    <row r="47" spans="1:20" s="2" customFormat="1">
      <c r="A47" s="3">
        <v>135</v>
      </c>
      <c r="B47" s="2" t="s">
        <v>125</v>
      </c>
      <c r="C47" s="2" t="s">
        <v>127</v>
      </c>
      <c r="D47" s="2">
        <v>12</v>
      </c>
      <c r="E47" s="2">
        <v>18</v>
      </c>
      <c r="F47" s="2">
        <v>0</v>
      </c>
      <c r="G47" s="2">
        <v>0</v>
      </c>
      <c r="H47" s="2">
        <v>0</v>
      </c>
      <c r="I47" s="2">
        <v>0</v>
      </c>
      <c r="J47" s="2">
        <v>10</v>
      </c>
      <c r="K47" s="2">
        <v>10</v>
      </c>
      <c r="L47" s="2">
        <v>10</v>
      </c>
      <c r="M47" s="2">
        <v>10</v>
      </c>
      <c r="N47" s="2">
        <v>385</v>
      </c>
      <c r="O47" s="2">
        <v>0</v>
      </c>
      <c r="P47" s="2">
        <v>15</v>
      </c>
      <c r="Q47" s="2">
        <v>15</v>
      </c>
      <c r="R47" s="2">
        <v>75</v>
      </c>
      <c r="S47" s="2">
        <v>300</v>
      </c>
      <c r="T47" s="2">
        <v>50</v>
      </c>
    </row>
    <row r="48" spans="1:20" s="2" customFormat="1">
      <c r="A48" s="3">
        <v>136</v>
      </c>
      <c r="B48" s="2" t="s">
        <v>124</v>
      </c>
      <c r="C48" s="2" t="s">
        <v>127</v>
      </c>
      <c r="D48" s="2">
        <v>20</v>
      </c>
      <c r="E48" s="2">
        <v>32</v>
      </c>
      <c r="F48" s="2">
        <v>0</v>
      </c>
      <c r="G48" s="2">
        <v>0</v>
      </c>
      <c r="H48" s="2">
        <v>0</v>
      </c>
      <c r="I48" s="2">
        <v>0</v>
      </c>
      <c r="J48" s="2">
        <v>12</v>
      </c>
      <c r="K48" s="2">
        <v>12</v>
      </c>
      <c r="L48" s="2">
        <v>12</v>
      </c>
      <c r="M48" s="2">
        <v>12</v>
      </c>
      <c r="N48" s="2">
        <v>495</v>
      </c>
      <c r="O48" s="2">
        <v>0</v>
      </c>
      <c r="P48" s="2">
        <v>15</v>
      </c>
      <c r="Q48" s="2">
        <v>17</v>
      </c>
      <c r="R48" s="2">
        <v>75</v>
      </c>
      <c r="S48" s="2">
        <v>300</v>
      </c>
      <c r="T48" s="2">
        <v>50</v>
      </c>
    </row>
    <row r="49" spans="1:20" s="2" customFormat="1">
      <c r="A49" s="3">
        <v>137</v>
      </c>
      <c r="B49" s="2" t="s">
        <v>126</v>
      </c>
      <c r="C49" s="2" t="s">
        <v>127</v>
      </c>
      <c r="D49" s="2">
        <v>22</v>
      </c>
      <c r="E49" s="2">
        <v>34</v>
      </c>
      <c r="F49" s="2">
        <v>0</v>
      </c>
      <c r="G49" s="2">
        <v>0</v>
      </c>
      <c r="H49" s="2">
        <v>0</v>
      </c>
      <c r="I49" s="2">
        <v>0</v>
      </c>
      <c r="J49" s="2">
        <v>15</v>
      </c>
      <c r="K49" s="2">
        <v>15</v>
      </c>
      <c r="L49" s="2">
        <v>15</v>
      </c>
      <c r="M49" s="2">
        <v>15</v>
      </c>
      <c r="N49" s="2">
        <v>495</v>
      </c>
      <c r="O49" s="2">
        <v>0</v>
      </c>
      <c r="P49" s="2">
        <v>15</v>
      </c>
      <c r="Q49" s="2">
        <v>17</v>
      </c>
      <c r="R49" s="2">
        <v>75</v>
      </c>
      <c r="S49" s="2">
        <v>300</v>
      </c>
      <c r="T49" s="2">
        <v>50</v>
      </c>
    </row>
    <row r="50" spans="1:20" s="2" customFormat="1">
      <c r="A50" s="3">
        <v>141</v>
      </c>
      <c r="B50" s="2" t="s">
        <v>167</v>
      </c>
      <c r="C50" s="2" t="s">
        <v>127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6</v>
      </c>
      <c r="M50" s="2">
        <v>6</v>
      </c>
      <c r="N50" s="2">
        <v>200</v>
      </c>
      <c r="O50" s="2">
        <v>0</v>
      </c>
      <c r="P50" s="2">
        <v>1</v>
      </c>
      <c r="Q50" s="2">
        <v>1</v>
      </c>
      <c r="R50" s="2">
        <v>75</v>
      </c>
      <c r="S50" s="2">
        <v>300</v>
      </c>
      <c r="T50" s="2">
        <v>50</v>
      </c>
    </row>
    <row r="51" spans="1:20" s="2" customFormat="1">
      <c r="A51" s="3">
        <v>139</v>
      </c>
      <c r="B51" s="2" t="s">
        <v>168</v>
      </c>
      <c r="C51" s="2" t="s">
        <v>127</v>
      </c>
      <c r="D51" s="2">
        <v>0</v>
      </c>
      <c r="E51" s="2">
        <v>22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3</v>
      </c>
      <c r="O51" s="2">
        <v>0</v>
      </c>
      <c r="P51" s="2">
        <v>18</v>
      </c>
      <c r="Q51" s="2">
        <v>5</v>
      </c>
      <c r="R51" s="2">
        <v>75</v>
      </c>
      <c r="S51" s="2">
        <v>300</v>
      </c>
      <c r="T51" s="2">
        <v>50</v>
      </c>
    </row>
    <row r="52" spans="1:20" s="2" customFormat="1">
      <c r="A52" s="3">
        <v>140</v>
      </c>
      <c r="B52" s="2" t="s">
        <v>170</v>
      </c>
      <c r="C52" s="2" t="s">
        <v>127</v>
      </c>
      <c r="D52" s="2">
        <v>13</v>
      </c>
      <c r="E52" s="2">
        <v>18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5</v>
      </c>
      <c r="M52" s="2">
        <v>5</v>
      </c>
      <c r="N52" s="2">
        <v>220</v>
      </c>
      <c r="O52" s="2">
        <v>0</v>
      </c>
      <c r="P52" s="2">
        <v>15</v>
      </c>
      <c r="Q52" s="2">
        <v>17</v>
      </c>
      <c r="R52" s="2">
        <v>75</v>
      </c>
      <c r="S52" s="2">
        <v>300</v>
      </c>
      <c r="T52" s="2">
        <v>50</v>
      </c>
    </row>
    <row r="53" spans="1:20" s="2" customFormat="1">
      <c r="A53" s="3">
        <v>142</v>
      </c>
      <c r="B53" s="2" t="s">
        <v>288</v>
      </c>
      <c r="C53" s="2" t="s">
        <v>297</v>
      </c>
      <c r="D53" s="2">
        <v>30</v>
      </c>
      <c r="E53" s="2">
        <v>50</v>
      </c>
      <c r="F53" s="2">
        <v>0</v>
      </c>
      <c r="G53" s="2">
        <v>0</v>
      </c>
      <c r="H53" s="2">
        <v>0</v>
      </c>
      <c r="I53" s="2">
        <v>0</v>
      </c>
      <c r="J53" s="2">
        <v>15</v>
      </c>
      <c r="K53" s="2">
        <v>15</v>
      </c>
      <c r="L53" s="2">
        <v>18</v>
      </c>
      <c r="M53" s="2">
        <v>18</v>
      </c>
      <c r="N53" s="2">
        <v>1500</v>
      </c>
      <c r="O53" s="2">
        <v>0</v>
      </c>
      <c r="P53" s="2">
        <v>15</v>
      </c>
      <c r="Q53" s="2">
        <v>20</v>
      </c>
      <c r="R53" s="2">
        <v>75</v>
      </c>
      <c r="S53" s="2">
        <v>300</v>
      </c>
      <c r="T53" s="2">
        <v>50</v>
      </c>
    </row>
    <row r="54" spans="1:20" s="2" customFormat="1">
      <c r="A54" s="3">
        <v>143</v>
      </c>
      <c r="B54" s="2" t="s">
        <v>289</v>
      </c>
      <c r="C54" s="2" t="s">
        <v>297</v>
      </c>
      <c r="D54" s="2">
        <v>27</v>
      </c>
      <c r="E54" s="2">
        <v>27</v>
      </c>
      <c r="F54" s="2">
        <v>0</v>
      </c>
      <c r="G54" s="2">
        <v>0</v>
      </c>
      <c r="H54" s="2">
        <v>0</v>
      </c>
      <c r="I54" s="2">
        <v>0</v>
      </c>
      <c r="J54" s="2">
        <v>12</v>
      </c>
      <c r="K54" s="2">
        <v>12</v>
      </c>
      <c r="L54" s="2">
        <v>28</v>
      </c>
      <c r="M54" s="2">
        <v>28</v>
      </c>
      <c r="N54" s="2">
        <v>850</v>
      </c>
      <c r="O54" s="2">
        <v>0</v>
      </c>
      <c r="P54" s="2">
        <v>50</v>
      </c>
      <c r="Q54" s="2">
        <v>20</v>
      </c>
      <c r="R54" s="2">
        <v>75</v>
      </c>
      <c r="S54" s="2">
        <v>300</v>
      </c>
      <c r="T54" s="2">
        <v>50</v>
      </c>
    </row>
    <row r="55" spans="1:20" s="2" customFormat="1">
      <c r="A55" s="3">
        <v>144</v>
      </c>
      <c r="B55" s="2" t="s">
        <v>290</v>
      </c>
      <c r="C55" s="2" t="s">
        <v>297</v>
      </c>
      <c r="D55" s="2">
        <v>22</v>
      </c>
      <c r="E55" s="2">
        <v>34</v>
      </c>
      <c r="F55" s="2">
        <v>0</v>
      </c>
      <c r="G55" s="2">
        <v>0</v>
      </c>
      <c r="H55" s="2">
        <v>0</v>
      </c>
      <c r="I55" s="2">
        <v>0</v>
      </c>
      <c r="J55" s="2">
        <v>8</v>
      </c>
      <c r="K55" s="2">
        <v>8</v>
      </c>
      <c r="L55" s="2">
        <v>20</v>
      </c>
      <c r="M55" s="2">
        <v>20</v>
      </c>
      <c r="N55" s="2">
        <v>500</v>
      </c>
      <c r="O55" s="2">
        <v>0</v>
      </c>
      <c r="P55" s="2">
        <v>15</v>
      </c>
      <c r="Q55" s="2">
        <v>17</v>
      </c>
      <c r="R55" s="2">
        <v>75</v>
      </c>
      <c r="S55" s="2">
        <v>300</v>
      </c>
      <c r="T55" s="2">
        <v>50</v>
      </c>
    </row>
    <row r="56" spans="1:20" s="2" customFormat="1">
      <c r="A56" s="3">
        <v>145</v>
      </c>
      <c r="B56" s="2" t="s">
        <v>291</v>
      </c>
      <c r="C56" s="2" t="s">
        <v>297</v>
      </c>
      <c r="D56" s="2">
        <v>35</v>
      </c>
      <c r="E56" s="2">
        <v>50</v>
      </c>
      <c r="F56" s="2">
        <v>0</v>
      </c>
      <c r="G56" s="2">
        <v>0</v>
      </c>
      <c r="H56" s="2">
        <v>0</v>
      </c>
      <c r="I56" s="2">
        <v>0</v>
      </c>
      <c r="J56" s="2">
        <v>13</v>
      </c>
      <c r="K56" s="2">
        <v>13</v>
      </c>
      <c r="L56" s="2">
        <v>33</v>
      </c>
      <c r="M56" s="2">
        <v>33</v>
      </c>
      <c r="N56" s="2">
        <v>800</v>
      </c>
      <c r="O56" s="2">
        <v>0</v>
      </c>
      <c r="P56" s="2">
        <v>20</v>
      </c>
      <c r="Q56" s="2">
        <v>17</v>
      </c>
      <c r="R56" s="2">
        <v>75</v>
      </c>
      <c r="S56" s="2">
        <v>300</v>
      </c>
      <c r="T56" s="2">
        <v>50</v>
      </c>
    </row>
    <row r="57" spans="1:20" s="2" customFormat="1">
      <c r="A57" s="3">
        <v>146</v>
      </c>
      <c r="B57" s="2" t="s">
        <v>292</v>
      </c>
      <c r="C57" s="2" t="s">
        <v>297</v>
      </c>
      <c r="D57" s="2">
        <v>20</v>
      </c>
      <c r="E57" s="2">
        <v>60</v>
      </c>
      <c r="F57" s="2">
        <v>0</v>
      </c>
      <c r="G57" s="2">
        <v>0</v>
      </c>
      <c r="H57" s="2">
        <v>0</v>
      </c>
      <c r="I57" s="2">
        <v>0</v>
      </c>
      <c r="J57" s="2">
        <v>12</v>
      </c>
      <c r="K57" s="2">
        <v>12</v>
      </c>
      <c r="L57" s="2">
        <v>27</v>
      </c>
      <c r="M57" s="2">
        <v>27</v>
      </c>
      <c r="N57" s="2">
        <v>750</v>
      </c>
      <c r="O57" s="2">
        <v>0</v>
      </c>
      <c r="P57" s="2">
        <v>17</v>
      </c>
      <c r="Q57" s="2">
        <v>25</v>
      </c>
      <c r="R57" s="2">
        <v>75</v>
      </c>
      <c r="S57" s="2">
        <v>300</v>
      </c>
      <c r="T57" s="2">
        <v>50</v>
      </c>
    </row>
    <row r="58" spans="1:20" s="2" customFormat="1">
      <c r="A58" s="3">
        <v>147</v>
      </c>
      <c r="B58" s="2" t="s">
        <v>293</v>
      </c>
      <c r="C58" s="2" t="s">
        <v>297</v>
      </c>
      <c r="D58" s="2">
        <v>15</v>
      </c>
      <c r="E58" s="2">
        <v>75</v>
      </c>
      <c r="F58" s="2">
        <v>0</v>
      </c>
      <c r="G58" s="2">
        <v>0</v>
      </c>
      <c r="H58" s="2">
        <v>0</v>
      </c>
      <c r="I58" s="2">
        <v>0</v>
      </c>
      <c r="J58" s="2">
        <v>11</v>
      </c>
      <c r="K58" s="2">
        <v>11</v>
      </c>
      <c r="L58" s="2">
        <v>30</v>
      </c>
      <c r="M58" s="2">
        <v>30</v>
      </c>
      <c r="N58" s="2">
        <v>1200</v>
      </c>
      <c r="O58" s="2">
        <v>0</v>
      </c>
      <c r="P58" s="2">
        <v>17</v>
      </c>
      <c r="Q58" s="2">
        <v>17</v>
      </c>
      <c r="R58" s="2">
        <v>75</v>
      </c>
      <c r="S58" s="2">
        <v>300</v>
      </c>
      <c r="T58" s="2">
        <v>50</v>
      </c>
    </row>
    <row r="59" spans="1:20" s="2" customFormat="1">
      <c r="A59" s="3">
        <v>148</v>
      </c>
      <c r="B59" s="2" t="s">
        <v>294</v>
      </c>
      <c r="C59" s="2" t="s">
        <v>297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10</v>
      </c>
      <c r="K59" s="2">
        <v>10</v>
      </c>
      <c r="L59" s="2">
        <v>23</v>
      </c>
      <c r="M59" s="2">
        <v>23</v>
      </c>
      <c r="N59" s="2">
        <v>1200</v>
      </c>
      <c r="O59" s="2">
        <v>0</v>
      </c>
      <c r="P59" s="2">
        <v>1</v>
      </c>
      <c r="Q59" s="2">
        <v>1</v>
      </c>
      <c r="R59" s="2">
        <v>75</v>
      </c>
      <c r="S59" s="2">
        <v>300</v>
      </c>
      <c r="T59" s="2">
        <v>50</v>
      </c>
    </row>
    <row r="60" spans="1:20" s="2" customFormat="1">
      <c r="A60" s="3">
        <v>149</v>
      </c>
      <c r="B60" s="2" t="s">
        <v>296</v>
      </c>
      <c r="C60" s="2" t="s">
        <v>297</v>
      </c>
      <c r="D60" s="2">
        <v>20</v>
      </c>
      <c r="E60" s="2">
        <v>20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10</v>
      </c>
      <c r="O60" s="2">
        <v>0</v>
      </c>
      <c r="P60" s="2">
        <v>30</v>
      </c>
      <c r="Q60" s="2">
        <v>30</v>
      </c>
      <c r="R60" s="2">
        <v>75</v>
      </c>
      <c r="S60" s="2">
        <v>300</v>
      </c>
      <c r="T60" s="2">
        <v>50</v>
      </c>
    </row>
    <row r="61" spans="1:20" s="2" customFormat="1">
      <c r="A61" s="3">
        <v>150</v>
      </c>
      <c r="B61" s="2" t="s">
        <v>295</v>
      </c>
      <c r="C61" s="2" t="s">
        <v>297</v>
      </c>
      <c r="D61" s="2">
        <v>35</v>
      </c>
      <c r="E61" s="2">
        <v>70</v>
      </c>
      <c r="F61" s="2">
        <v>0</v>
      </c>
      <c r="G61" s="2">
        <v>0</v>
      </c>
      <c r="H61" s="2">
        <v>0</v>
      </c>
      <c r="I61" s="2">
        <v>0</v>
      </c>
      <c r="J61" s="2">
        <v>15</v>
      </c>
      <c r="K61" s="2">
        <v>15</v>
      </c>
      <c r="L61" s="2">
        <v>30</v>
      </c>
      <c r="M61" s="2">
        <v>30</v>
      </c>
      <c r="N61" s="2">
        <v>1200</v>
      </c>
      <c r="O61" s="2">
        <v>0</v>
      </c>
      <c r="P61" s="2">
        <v>17</v>
      </c>
      <c r="Q61" s="2">
        <v>20</v>
      </c>
      <c r="R61" s="2">
        <v>75</v>
      </c>
      <c r="S61" s="2">
        <v>300</v>
      </c>
      <c r="T61" s="2">
        <v>50</v>
      </c>
    </row>
    <row r="62" spans="1:20" s="2" customFormat="1">
      <c r="A62" s="3">
        <v>151</v>
      </c>
      <c r="B62" s="2" t="s">
        <v>299</v>
      </c>
      <c r="C62" s="2" t="s">
        <v>297</v>
      </c>
      <c r="D62" s="2">
        <v>35</v>
      </c>
      <c r="E62" s="2">
        <v>50</v>
      </c>
      <c r="F62" s="2">
        <v>0</v>
      </c>
      <c r="G62" s="2">
        <v>0</v>
      </c>
      <c r="H62" s="2">
        <v>0</v>
      </c>
      <c r="I62" s="2">
        <v>0</v>
      </c>
      <c r="J62" s="2">
        <v>18</v>
      </c>
      <c r="K62" s="2">
        <v>18</v>
      </c>
      <c r="L62" s="2">
        <v>30</v>
      </c>
      <c r="M62" s="2">
        <v>30</v>
      </c>
      <c r="N62" s="2">
        <v>1200</v>
      </c>
      <c r="O62" s="2">
        <v>0</v>
      </c>
      <c r="P62" s="2">
        <v>25</v>
      </c>
      <c r="Q62" s="2">
        <v>10</v>
      </c>
      <c r="R62" s="2">
        <v>75</v>
      </c>
      <c r="S62" s="2">
        <v>300</v>
      </c>
      <c r="T62" s="2">
        <v>50</v>
      </c>
    </row>
    <row r="63" spans="1:20" s="2" customFormat="1">
      <c r="A63" s="3">
        <v>152</v>
      </c>
      <c r="B63" s="2" t="s">
        <v>309</v>
      </c>
      <c r="C63" s="2" t="s">
        <v>297</v>
      </c>
      <c r="D63" s="2">
        <v>22</v>
      </c>
      <c r="E63" s="2">
        <v>34</v>
      </c>
      <c r="F63" s="2">
        <v>0</v>
      </c>
      <c r="G63" s="2">
        <v>0</v>
      </c>
      <c r="H63" s="2">
        <v>0</v>
      </c>
      <c r="I63" s="2">
        <v>0</v>
      </c>
      <c r="J63" s="2">
        <v>12</v>
      </c>
      <c r="K63" s="2">
        <v>12</v>
      </c>
      <c r="L63" s="2">
        <v>30</v>
      </c>
      <c r="M63" s="2">
        <v>30</v>
      </c>
      <c r="N63" s="2">
        <v>500</v>
      </c>
      <c r="O63" s="2">
        <v>0</v>
      </c>
      <c r="P63" s="2">
        <v>17</v>
      </c>
      <c r="Q63" s="2">
        <v>17</v>
      </c>
      <c r="R63" s="2">
        <v>75</v>
      </c>
      <c r="S63" s="2">
        <v>300</v>
      </c>
      <c r="T63" s="2">
        <v>50</v>
      </c>
    </row>
    <row r="64" spans="1:20" s="16" customFormat="1">
      <c r="A64" s="17">
        <v>201</v>
      </c>
      <c r="B64" s="17" t="str">
        <f t="shared" ref="B64:B95" si="0">B8&amp;"微型"</f>
        <v>稻草人微型</v>
      </c>
      <c r="C64" s="17" t="str">
        <f t="shared" ref="C64:C95" si="1">C8</f>
        <v>边界村</v>
      </c>
      <c r="D64" s="16">
        <f t="shared" ref="D64:I73" si="2">ROUND(D8*0.8,0)</f>
        <v>1</v>
      </c>
      <c r="E64" s="16">
        <f t="shared" si="2"/>
        <v>2</v>
      </c>
      <c r="F64" s="16">
        <f t="shared" si="2"/>
        <v>0</v>
      </c>
      <c r="G64" s="16">
        <f t="shared" si="2"/>
        <v>0</v>
      </c>
      <c r="H64" s="16">
        <f t="shared" si="2"/>
        <v>0</v>
      </c>
      <c r="I64" s="16">
        <f t="shared" si="2"/>
        <v>0</v>
      </c>
      <c r="J64" s="16">
        <f t="shared" ref="J64:M83" si="3">J8</f>
        <v>0</v>
      </c>
      <c r="K64" s="16">
        <f t="shared" si="3"/>
        <v>0</v>
      </c>
      <c r="L64" s="16">
        <f t="shared" si="3"/>
        <v>0</v>
      </c>
      <c r="M64" s="16">
        <f t="shared" si="3"/>
        <v>0</v>
      </c>
      <c r="N64" s="16">
        <f t="shared" ref="N64:N87" si="4">ROUND(N8*0.7,0)</f>
        <v>11</v>
      </c>
      <c r="O64" s="16">
        <f t="shared" ref="O64:O95" si="5">ROUND(O8*0.8,0)</f>
        <v>0</v>
      </c>
      <c r="P64" s="16">
        <f t="shared" ref="P64:T73" si="6">P8</f>
        <v>5</v>
      </c>
      <c r="Q64" s="16">
        <f t="shared" si="6"/>
        <v>10</v>
      </c>
      <c r="R64" s="16">
        <f t="shared" si="6"/>
        <v>75</v>
      </c>
      <c r="S64" s="16">
        <f t="shared" si="6"/>
        <v>300</v>
      </c>
      <c r="T64" s="16">
        <f t="shared" si="6"/>
        <v>50</v>
      </c>
    </row>
    <row r="65" spans="1:20" s="16" customFormat="1">
      <c r="A65" s="17">
        <v>202</v>
      </c>
      <c r="B65" s="17" t="str">
        <f t="shared" si="0"/>
        <v>钉耙猫微型</v>
      </c>
      <c r="C65" s="17" t="str">
        <f t="shared" si="1"/>
        <v>边界村</v>
      </c>
      <c r="D65" s="16">
        <f t="shared" si="2"/>
        <v>2</v>
      </c>
      <c r="E65" s="16">
        <f t="shared" si="2"/>
        <v>3</v>
      </c>
      <c r="F65" s="16">
        <f t="shared" si="2"/>
        <v>0</v>
      </c>
      <c r="G65" s="16">
        <f t="shared" si="2"/>
        <v>0</v>
      </c>
      <c r="H65" s="16">
        <f t="shared" si="2"/>
        <v>0</v>
      </c>
      <c r="I65" s="16">
        <f t="shared" si="2"/>
        <v>0</v>
      </c>
      <c r="J65" s="16">
        <f t="shared" si="3"/>
        <v>0</v>
      </c>
      <c r="K65" s="16">
        <f t="shared" si="3"/>
        <v>0</v>
      </c>
      <c r="L65" s="16">
        <f t="shared" si="3"/>
        <v>0</v>
      </c>
      <c r="M65" s="16">
        <f t="shared" si="3"/>
        <v>0</v>
      </c>
      <c r="N65" s="16">
        <f t="shared" si="4"/>
        <v>16</v>
      </c>
      <c r="O65" s="16">
        <f t="shared" si="5"/>
        <v>0</v>
      </c>
      <c r="P65" s="16">
        <f t="shared" si="6"/>
        <v>5</v>
      </c>
      <c r="Q65" s="16">
        <f t="shared" si="6"/>
        <v>10</v>
      </c>
      <c r="R65" s="16">
        <f t="shared" si="6"/>
        <v>75</v>
      </c>
      <c r="S65" s="16">
        <f t="shared" si="6"/>
        <v>300</v>
      </c>
      <c r="T65" s="16">
        <f t="shared" si="6"/>
        <v>50</v>
      </c>
    </row>
    <row r="66" spans="1:20" s="16" customFormat="1">
      <c r="A66" s="17">
        <v>203</v>
      </c>
      <c r="B66" s="17" t="str">
        <f t="shared" si="0"/>
        <v>半兽人_BJC微型</v>
      </c>
      <c r="C66" s="17" t="str">
        <f t="shared" si="1"/>
        <v>边界村</v>
      </c>
      <c r="D66" s="16">
        <f t="shared" si="2"/>
        <v>2</v>
      </c>
      <c r="E66" s="16">
        <f t="shared" si="2"/>
        <v>6</v>
      </c>
      <c r="F66" s="16">
        <f t="shared" si="2"/>
        <v>0</v>
      </c>
      <c r="G66" s="16">
        <f t="shared" si="2"/>
        <v>0</v>
      </c>
      <c r="H66" s="16">
        <f t="shared" si="2"/>
        <v>0</v>
      </c>
      <c r="I66" s="16">
        <f t="shared" si="2"/>
        <v>0</v>
      </c>
      <c r="J66" s="16">
        <f t="shared" si="3"/>
        <v>1</v>
      </c>
      <c r="K66" s="16">
        <f t="shared" si="3"/>
        <v>1</v>
      </c>
      <c r="L66" s="16">
        <f t="shared" si="3"/>
        <v>0</v>
      </c>
      <c r="M66" s="16">
        <f t="shared" si="3"/>
        <v>0</v>
      </c>
      <c r="N66" s="16">
        <f t="shared" si="4"/>
        <v>21</v>
      </c>
      <c r="O66" s="16">
        <f t="shared" si="5"/>
        <v>0</v>
      </c>
      <c r="P66" s="16">
        <f t="shared" si="6"/>
        <v>6</v>
      </c>
      <c r="Q66" s="16">
        <f t="shared" si="6"/>
        <v>11</v>
      </c>
      <c r="R66" s="16">
        <f t="shared" si="6"/>
        <v>75</v>
      </c>
      <c r="S66" s="16">
        <f t="shared" si="6"/>
        <v>300</v>
      </c>
      <c r="T66" s="16">
        <f t="shared" si="6"/>
        <v>50</v>
      </c>
    </row>
    <row r="67" spans="1:20" s="16" customFormat="1">
      <c r="A67" s="17">
        <v>204</v>
      </c>
      <c r="B67" s="17" t="str">
        <f t="shared" si="0"/>
        <v>半兽人战士微型</v>
      </c>
      <c r="C67" s="17" t="str">
        <f t="shared" si="1"/>
        <v>比奇省</v>
      </c>
      <c r="D67" s="16">
        <f t="shared" si="2"/>
        <v>4</v>
      </c>
      <c r="E67" s="16">
        <f t="shared" si="2"/>
        <v>10</v>
      </c>
      <c r="F67" s="16">
        <f t="shared" si="2"/>
        <v>0</v>
      </c>
      <c r="G67" s="16">
        <f t="shared" si="2"/>
        <v>0</v>
      </c>
      <c r="H67" s="16">
        <f t="shared" si="2"/>
        <v>0</v>
      </c>
      <c r="I67" s="16">
        <f t="shared" si="2"/>
        <v>0</v>
      </c>
      <c r="J67" s="16">
        <f t="shared" si="3"/>
        <v>3</v>
      </c>
      <c r="K67" s="16">
        <f t="shared" si="3"/>
        <v>3</v>
      </c>
      <c r="L67" s="16">
        <f t="shared" si="3"/>
        <v>1</v>
      </c>
      <c r="M67" s="16">
        <f t="shared" si="3"/>
        <v>1</v>
      </c>
      <c r="N67" s="16">
        <f t="shared" si="4"/>
        <v>70</v>
      </c>
      <c r="O67" s="16">
        <f t="shared" si="5"/>
        <v>0</v>
      </c>
      <c r="P67" s="16">
        <f t="shared" si="6"/>
        <v>10</v>
      </c>
      <c r="Q67" s="16">
        <f t="shared" si="6"/>
        <v>15</v>
      </c>
      <c r="R67" s="16">
        <f t="shared" si="6"/>
        <v>75</v>
      </c>
      <c r="S67" s="16">
        <f t="shared" si="6"/>
        <v>300</v>
      </c>
      <c r="T67" s="16">
        <f t="shared" si="6"/>
        <v>50</v>
      </c>
    </row>
    <row r="68" spans="1:20" s="16" customFormat="1">
      <c r="A68" s="17">
        <v>2041</v>
      </c>
      <c r="B68" s="17" t="str">
        <f t="shared" si="0"/>
        <v>半兽人战士_BJC微型</v>
      </c>
      <c r="C68" s="17" t="str">
        <f t="shared" si="1"/>
        <v>边界村</v>
      </c>
      <c r="D68" s="16">
        <f t="shared" si="2"/>
        <v>3</v>
      </c>
      <c r="E68" s="16">
        <f t="shared" si="2"/>
        <v>7</v>
      </c>
      <c r="F68" s="16">
        <f t="shared" si="2"/>
        <v>0</v>
      </c>
      <c r="G68" s="16">
        <f t="shared" si="2"/>
        <v>0</v>
      </c>
      <c r="H68" s="16">
        <f t="shared" si="2"/>
        <v>0</v>
      </c>
      <c r="I68" s="16">
        <f t="shared" si="2"/>
        <v>0</v>
      </c>
      <c r="J68" s="16">
        <f t="shared" si="3"/>
        <v>1</v>
      </c>
      <c r="K68" s="16">
        <f t="shared" si="3"/>
        <v>1</v>
      </c>
      <c r="L68" s="16">
        <f t="shared" si="3"/>
        <v>0</v>
      </c>
      <c r="M68" s="16">
        <f t="shared" si="3"/>
        <v>0</v>
      </c>
      <c r="N68" s="16">
        <f t="shared" si="4"/>
        <v>25</v>
      </c>
      <c r="O68" s="16">
        <f t="shared" si="5"/>
        <v>0</v>
      </c>
      <c r="P68" s="16">
        <f t="shared" si="6"/>
        <v>10</v>
      </c>
      <c r="Q68" s="16">
        <f t="shared" si="6"/>
        <v>12</v>
      </c>
      <c r="R68" s="16">
        <f t="shared" si="6"/>
        <v>75</v>
      </c>
      <c r="S68" s="16">
        <f t="shared" si="6"/>
        <v>300</v>
      </c>
      <c r="T68" s="16">
        <f t="shared" si="6"/>
        <v>50</v>
      </c>
    </row>
    <row r="69" spans="1:20" s="16" customFormat="1">
      <c r="A69" s="17">
        <v>2042</v>
      </c>
      <c r="B69" s="17" t="str">
        <f t="shared" si="0"/>
        <v>半兽人战士_BQS微型</v>
      </c>
      <c r="C69" s="17" t="str">
        <f t="shared" si="1"/>
        <v>比奇省</v>
      </c>
      <c r="D69" s="16">
        <f t="shared" si="2"/>
        <v>4</v>
      </c>
      <c r="E69" s="16">
        <f t="shared" si="2"/>
        <v>9</v>
      </c>
      <c r="F69" s="16">
        <f t="shared" si="2"/>
        <v>0</v>
      </c>
      <c r="G69" s="16">
        <f t="shared" si="2"/>
        <v>0</v>
      </c>
      <c r="H69" s="16">
        <f t="shared" si="2"/>
        <v>0</v>
      </c>
      <c r="I69" s="16">
        <f t="shared" si="2"/>
        <v>0</v>
      </c>
      <c r="J69" s="16">
        <f t="shared" si="3"/>
        <v>1</v>
      </c>
      <c r="K69" s="16">
        <f t="shared" si="3"/>
        <v>1</v>
      </c>
      <c r="L69" s="16">
        <f t="shared" si="3"/>
        <v>0</v>
      </c>
      <c r="M69" s="16">
        <f t="shared" si="3"/>
        <v>0</v>
      </c>
      <c r="N69" s="16">
        <f t="shared" si="4"/>
        <v>32</v>
      </c>
      <c r="O69" s="16">
        <f t="shared" si="5"/>
        <v>0</v>
      </c>
      <c r="P69" s="16">
        <f t="shared" si="6"/>
        <v>10</v>
      </c>
      <c r="Q69" s="16">
        <f t="shared" si="6"/>
        <v>12</v>
      </c>
      <c r="R69" s="16">
        <f t="shared" si="6"/>
        <v>75</v>
      </c>
      <c r="S69" s="16">
        <f t="shared" si="6"/>
        <v>300</v>
      </c>
      <c r="T69" s="16">
        <f t="shared" si="6"/>
        <v>50</v>
      </c>
    </row>
    <row r="70" spans="1:20" s="16" customFormat="1">
      <c r="A70" s="17">
        <v>205</v>
      </c>
      <c r="B70" s="17" t="str">
        <f t="shared" si="0"/>
        <v>半兽人勇士微型</v>
      </c>
      <c r="C70" s="17" t="str">
        <f t="shared" si="1"/>
        <v>比奇省</v>
      </c>
      <c r="D70" s="16">
        <f t="shared" si="2"/>
        <v>12</v>
      </c>
      <c r="E70" s="16">
        <f t="shared" si="2"/>
        <v>26</v>
      </c>
      <c r="F70" s="16">
        <f t="shared" si="2"/>
        <v>0</v>
      </c>
      <c r="G70" s="16">
        <f t="shared" si="2"/>
        <v>0</v>
      </c>
      <c r="H70" s="16">
        <f t="shared" si="2"/>
        <v>0</v>
      </c>
      <c r="I70" s="16">
        <f t="shared" si="2"/>
        <v>0</v>
      </c>
      <c r="J70" s="16">
        <f t="shared" si="3"/>
        <v>0</v>
      </c>
      <c r="K70" s="16">
        <f t="shared" si="3"/>
        <v>0</v>
      </c>
      <c r="L70" s="16">
        <f t="shared" si="3"/>
        <v>0</v>
      </c>
      <c r="M70" s="16">
        <f t="shared" si="3"/>
        <v>0</v>
      </c>
      <c r="N70" s="16">
        <f t="shared" si="4"/>
        <v>210</v>
      </c>
      <c r="O70" s="16">
        <f t="shared" si="5"/>
        <v>0</v>
      </c>
      <c r="P70" s="16">
        <f t="shared" si="6"/>
        <v>13</v>
      </c>
      <c r="Q70" s="16">
        <f t="shared" si="6"/>
        <v>15</v>
      </c>
      <c r="R70" s="16">
        <f t="shared" si="6"/>
        <v>75</v>
      </c>
      <c r="S70" s="16">
        <f t="shared" si="6"/>
        <v>300</v>
      </c>
      <c r="T70" s="16">
        <f t="shared" si="6"/>
        <v>50</v>
      </c>
    </row>
    <row r="71" spans="1:20" s="16" customFormat="1">
      <c r="A71" s="17">
        <v>2051</v>
      </c>
      <c r="B71" s="17" t="str">
        <f t="shared" si="0"/>
        <v>半兽人勇士_BJC微型</v>
      </c>
      <c r="C71" s="17" t="str">
        <f t="shared" si="1"/>
        <v>边界村</v>
      </c>
      <c r="D71" s="16">
        <f t="shared" si="2"/>
        <v>5</v>
      </c>
      <c r="E71" s="16">
        <f t="shared" si="2"/>
        <v>10</v>
      </c>
      <c r="F71" s="16">
        <f t="shared" si="2"/>
        <v>0</v>
      </c>
      <c r="G71" s="16">
        <f t="shared" si="2"/>
        <v>0</v>
      </c>
      <c r="H71" s="16">
        <f t="shared" si="2"/>
        <v>0</v>
      </c>
      <c r="I71" s="16">
        <f t="shared" si="2"/>
        <v>0</v>
      </c>
      <c r="J71" s="16">
        <f t="shared" si="3"/>
        <v>2</v>
      </c>
      <c r="K71" s="16">
        <f t="shared" si="3"/>
        <v>2</v>
      </c>
      <c r="L71" s="16">
        <f t="shared" si="3"/>
        <v>1</v>
      </c>
      <c r="M71" s="16">
        <f t="shared" si="3"/>
        <v>1</v>
      </c>
      <c r="N71" s="16">
        <f t="shared" si="4"/>
        <v>46</v>
      </c>
      <c r="O71" s="16">
        <f t="shared" si="5"/>
        <v>0</v>
      </c>
      <c r="P71" s="16">
        <f t="shared" si="6"/>
        <v>13</v>
      </c>
      <c r="Q71" s="16">
        <f t="shared" si="6"/>
        <v>13</v>
      </c>
      <c r="R71" s="16">
        <f t="shared" si="6"/>
        <v>75</v>
      </c>
      <c r="S71" s="16">
        <f t="shared" si="6"/>
        <v>300</v>
      </c>
      <c r="T71" s="16">
        <f t="shared" si="6"/>
        <v>50</v>
      </c>
    </row>
    <row r="72" spans="1:20" s="16" customFormat="1">
      <c r="A72" s="17">
        <v>2052</v>
      </c>
      <c r="B72" s="17" t="str">
        <f t="shared" si="0"/>
        <v>半兽人勇士_BQS微型</v>
      </c>
      <c r="C72" s="17" t="str">
        <f t="shared" si="1"/>
        <v>比奇省</v>
      </c>
      <c r="D72" s="16">
        <f t="shared" si="2"/>
        <v>5</v>
      </c>
      <c r="E72" s="16">
        <f t="shared" si="2"/>
        <v>10</v>
      </c>
      <c r="F72" s="16">
        <f t="shared" si="2"/>
        <v>0</v>
      </c>
      <c r="G72" s="16">
        <f t="shared" si="2"/>
        <v>0</v>
      </c>
      <c r="H72" s="16">
        <f t="shared" si="2"/>
        <v>0</v>
      </c>
      <c r="I72" s="16">
        <f t="shared" si="2"/>
        <v>0</v>
      </c>
      <c r="J72" s="16">
        <f t="shared" si="3"/>
        <v>2</v>
      </c>
      <c r="K72" s="16">
        <f t="shared" si="3"/>
        <v>2</v>
      </c>
      <c r="L72" s="16">
        <f t="shared" si="3"/>
        <v>1</v>
      </c>
      <c r="M72" s="16">
        <f t="shared" si="3"/>
        <v>1</v>
      </c>
      <c r="N72" s="16">
        <f t="shared" si="4"/>
        <v>46</v>
      </c>
      <c r="O72" s="16">
        <f t="shared" si="5"/>
        <v>0</v>
      </c>
      <c r="P72" s="16">
        <f t="shared" si="6"/>
        <v>13</v>
      </c>
      <c r="Q72" s="16">
        <f t="shared" si="6"/>
        <v>13</v>
      </c>
      <c r="R72" s="16">
        <f t="shared" si="6"/>
        <v>75</v>
      </c>
      <c r="S72" s="16">
        <f t="shared" si="6"/>
        <v>300</v>
      </c>
      <c r="T72" s="16">
        <f t="shared" si="6"/>
        <v>50</v>
      </c>
    </row>
    <row r="73" spans="1:20" s="16" customFormat="1">
      <c r="A73" s="17">
        <v>206</v>
      </c>
      <c r="B73" s="17" t="str">
        <f t="shared" si="0"/>
        <v>鹿微型</v>
      </c>
      <c r="C73" s="17" t="str">
        <f t="shared" si="1"/>
        <v>边界村</v>
      </c>
      <c r="D73" s="16">
        <f t="shared" si="2"/>
        <v>2</v>
      </c>
      <c r="E73" s="16">
        <f t="shared" si="2"/>
        <v>3</v>
      </c>
      <c r="F73" s="16">
        <f t="shared" si="2"/>
        <v>0</v>
      </c>
      <c r="G73" s="16">
        <f t="shared" si="2"/>
        <v>0</v>
      </c>
      <c r="H73" s="16">
        <f t="shared" si="2"/>
        <v>0</v>
      </c>
      <c r="I73" s="16">
        <f t="shared" si="2"/>
        <v>0</v>
      </c>
      <c r="J73" s="16">
        <f t="shared" si="3"/>
        <v>0</v>
      </c>
      <c r="K73" s="16">
        <f t="shared" si="3"/>
        <v>0</v>
      </c>
      <c r="L73" s="16">
        <f t="shared" si="3"/>
        <v>0</v>
      </c>
      <c r="M73" s="16">
        <f t="shared" si="3"/>
        <v>0</v>
      </c>
      <c r="N73" s="16">
        <f t="shared" si="4"/>
        <v>11</v>
      </c>
      <c r="O73" s="16">
        <f t="shared" si="5"/>
        <v>0</v>
      </c>
      <c r="P73" s="16">
        <f t="shared" si="6"/>
        <v>12</v>
      </c>
      <c r="Q73" s="16">
        <f t="shared" si="6"/>
        <v>4</v>
      </c>
      <c r="R73" s="16">
        <f t="shared" si="6"/>
        <v>75</v>
      </c>
      <c r="S73" s="16">
        <f t="shared" si="6"/>
        <v>300</v>
      </c>
      <c r="T73" s="16">
        <f t="shared" si="6"/>
        <v>50</v>
      </c>
    </row>
    <row r="74" spans="1:20" s="16" customFormat="1">
      <c r="A74" s="17">
        <v>207</v>
      </c>
      <c r="B74" s="17" t="str">
        <f t="shared" si="0"/>
        <v>残肢僵尸微型</v>
      </c>
      <c r="C74" s="17" t="str">
        <f t="shared" si="1"/>
        <v>比奇矿区</v>
      </c>
      <c r="D74" s="16">
        <f t="shared" ref="D74:I83" si="7">ROUND(D18*0.8,0)</f>
        <v>4</v>
      </c>
      <c r="E74" s="16">
        <f t="shared" si="7"/>
        <v>10</v>
      </c>
      <c r="F74" s="16">
        <f t="shared" si="7"/>
        <v>0</v>
      </c>
      <c r="G74" s="16">
        <f t="shared" si="7"/>
        <v>0</v>
      </c>
      <c r="H74" s="16">
        <f t="shared" si="7"/>
        <v>0</v>
      </c>
      <c r="I74" s="16">
        <f t="shared" si="7"/>
        <v>0</v>
      </c>
      <c r="J74" s="16">
        <f t="shared" si="3"/>
        <v>2</v>
      </c>
      <c r="K74" s="16">
        <f t="shared" si="3"/>
        <v>2</v>
      </c>
      <c r="L74" s="16">
        <f t="shared" si="3"/>
        <v>1</v>
      </c>
      <c r="M74" s="16">
        <f t="shared" si="3"/>
        <v>1</v>
      </c>
      <c r="N74" s="16">
        <f t="shared" si="4"/>
        <v>109</v>
      </c>
      <c r="O74" s="16">
        <f t="shared" si="5"/>
        <v>0</v>
      </c>
      <c r="P74" s="16">
        <f t="shared" ref="P74:T83" si="8">P18</f>
        <v>12</v>
      </c>
      <c r="Q74" s="16">
        <f t="shared" si="8"/>
        <v>15</v>
      </c>
      <c r="R74" s="16">
        <f t="shared" si="8"/>
        <v>75</v>
      </c>
      <c r="S74" s="16">
        <f t="shared" si="8"/>
        <v>300</v>
      </c>
      <c r="T74" s="16">
        <f t="shared" si="8"/>
        <v>50</v>
      </c>
    </row>
    <row r="75" spans="1:20" s="16" customFormat="1">
      <c r="A75" s="17">
        <v>208</v>
      </c>
      <c r="B75" s="17" t="str">
        <f t="shared" si="0"/>
        <v>直立僵尸微型</v>
      </c>
      <c r="C75" s="17" t="str">
        <f t="shared" si="1"/>
        <v>比奇矿区</v>
      </c>
      <c r="D75" s="16">
        <f t="shared" si="7"/>
        <v>4</v>
      </c>
      <c r="E75" s="16">
        <f t="shared" si="7"/>
        <v>12</v>
      </c>
      <c r="F75" s="16">
        <f t="shared" si="7"/>
        <v>0</v>
      </c>
      <c r="G75" s="16">
        <f t="shared" si="7"/>
        <v>0</v>
      </c>
      <c r="H75" s="16">
        <f t="shared" si="7"/>
        <v>0</v>
      </c>
      <c r="I75" s="16">
        <f t="shared" si="7"/>
        <v>0</v>
      </c>
      <c r="J75" s="16">
        <f t="shared" si="3"/>
        <v>2</v>
      </c>
      <c r="K75" s="16">
        <f t="shared" si="3"/>
        <v>2</v>
      </c>
      <c r="L75" s="16">
        <f t="shared" si="3"/>
        <v>1</v>
      </c>
      <c r="M75" s="16">
        <f t="shared" si="3"/>
        <v>1</v>
      </c>
      <c r="N75" s="16">
        <f t="shared" si="4"/>
        <v>109</v>
      </c>
      <c r="O75" s="16">
        <f t="shared" si="5"/>
        <v>0</v>
      </c>
      <c r="P75" s="16">
        <f t="shared" si="8"/>
        <v>12</v>
      </c>
      <c r="Q75" s="16">
        <f t="shared" si="8"/>
        <v>15</v>
      </c>
      <c r="R75" s="16">
        <f t="shared" si="8"/>
        <v>75</v>
      </c>
      <c r="S75" s="16">
        <f t="shared" si="8"/>
        <v>300</v>
      </c>
      <c r="T75" s="16">
        <f t="shared" si="8"/>
        <v>50</v>
      </c>
    </row>
    <row r="76" spans="1:20" s="16" customFormat="1">
      <c r="A76" s="17">
        <v>209</v>
      </c>
      <c r="B76" s="17" t="str">
        <f t="shared" si="0"/>
        <v>和尚僵尸微型</v>
      </c>
      <c r="C76" s="17" t="str">
        <f t="shared" si="1"/>
        <v>比奇矿区</v>
      </c>
      <c r="D76" s="16">
        <f t="shared" si="7"/>
        <v>6</v>
      </c>
      <c r="E76" s="16">
        <f t="shared" si="7"/>
        <v>12</v>
      </c>
      <c r="F76" s="16">
        <f t="shared" si="7"/>
        <v>0</v>
      </c>
      <c r="G76" s="16">
        <f t="shared" si="7"/>
        <v>0</v>
      </c>
      <c r="H76" s="16">
        <f t="shared" si="7"/>
        <v>0</v>
      </c>
      <c r="I76" s="16">
        <f t="shared" si="7"/>
        <v>0</v>
      </c>
      <c r="J76" s="16">
        <f t="shared" si="3"/>
        <v>2</v>
      </c>
      <c r="K76" s="16">
        <f t="shared" si="3"/>
        <v>2</v>
      </c>
      <c r="L76" s="16">
        <f t="shared" si="3"/>
        <v>1</v>
      </c>
      <c r="M76" s="16">
        <f t="shared" si="3"/>
        <v>1</v>
      </c>
      <c r="N76" s="16">
        <f t="shared" si="4"/>
        <v>109</v>
      </c>
      <c r="O76" s="16">
        <f t="shared" si="5"/>
        <v>0</v>
      </c>
      <c r="P76" s="16">
        <f t="shared" si="8"/>
        <v>12</v>
      </c>
      <c r="Q76" s="16">
        <f t="shared" si="8"/>
        <v>15</v>
      </c>
      <c r="R76" s="16">
        <f t="shared" si="8"/>
        <v>75</v>
      </c>
      <c r="S76" s="16">
        <f t="shared" si="8"/>
        <v>300</v>
      </c>
      <c r="T76" s="16">
        <f t="shared" si="8"/>
        <v>50</v>
      </c>
    </row>
    <row r="77" spans="1:20" s="16" customFormat="1">
      <c r="A77" s="17">
        <v>210</v>
      </c>
      <c r="B77" s="17" t="str">
        <f t="shared" si="0"/>
        <v>道士僵尸微型</v>
      </c>
      <c r="C77" s="17" t="str">
        <f t="shared" si="1"/>
        <v>比奇矿区</v>
      </c>
      <c r="D77" s="16">
        <f t="shared" si="7"/>
        <v>6</v>
      </c>
      <c r="E77" s="16">
        <f t="shared" si="7"/>
        <v>14</v>
      </c>
      <c r="F77" s="16">
        <f t="shared" si="7"/>
        <v>0</v>
      </c>
      <c r="G77" s="16">
        <f t="shared" si="7"/>
        <v>0</v>
      </c>
      <c r="H77" s="16">
        <f t="shared" si="7"/>
        <v>0</v>
      </c>
      <c r="I77" s="16">
        <f t="shared" si="7"/>
        <v>0</v>
      </c>
      <c r="J77" s="16">
        <f t="shared" si="3"/>
        <v>2</v>
      </c>
      <c r="K77" s="16">
        <f t="shared" si="3"/>
        <v>2</v>
      </c>
      <c r="L77" s="16">
        <f t="shared" si="3"/>
        <v>2</v>
      </c>
      <c r="M77" s="16">
        <f t="shared" si="3"/>
        <v>2</v>
      </c>
      <c r="N77" s="16">
        <f t="shared" si="4"/>
        <v>109</v>
      </c>
      <c r="O77" s="16">
        <f t="shared" si="5"/>
        <v>0</v>
      </c>
      <c r="P77" s="16">
        <f t="shared" si="8"/>
        <v>12</v>
      </c>
      <c r="Q77" s="16">
        <f t="shared" si="8"/>
        <v>15</v>
      </c>
      <c r="R77" s="16">
        <f t="shared" si="8"/>
        <v>75</v>
      </c>
      <c r="S77" s="16">
        <f t="shared" si="8"/>
        <v>300</v>
      </c>
      <c r="T77" s="16">
        <f t="shared" si="8"/>
        <v>50</v>
      </c>
    </row>
    <row r="78" spans="1:20" s="16" customFormat="1">
      <c r="A78" s="17">
        <v>211</v>
      </c>
      <c r="B78" s="17" t="str">
        <f t="shared" si="0"/>
        <v>矿区小蝙蝠微型</v>
      </c>
      <c r="C78" s="17" t="str">
        <f t="shared" si="1"/>
        <v>比奇矿区</v>
      </c>
      <c r="D78" s="16">
        <f t="shared" si="7"/>
        <v>3</v>
      </c>
      <c r="E78" s="16">
        <f t="shared" si="7"/>
        <v>5</v>
      </c>
      <c r="F78" s="16">
        <f t="shared" si="7"/>
        <v>0</v>
      </c>
      <c r="G78" s="16">
        <f t="shared" si="7"/>
        <v>0</v>
      </c>
      <c r="H78" s="16">
        <f t="shared" si="7"/>
        <v>0</v>
      </c>
      <c r="I78" s="16">
        <f t="shared" si="7"/>
        <v>0</v>
      </c>
      <c r="J78" s="16">
        <f t="shared" si="3"/>
        <v>2</v>
      </c>
      <c r="K78" s="16">
        <f t="shared" si="3"/>
        <v>2</v>
      </c>
      <c r="L78" s="16">
        <f t="shared" si="3"/>
        <v>0</v>
      </c>
      <c r="M78" s="16">
        <f t="shared" si="3"/>
        <v>0</v>
      </c>
      <c r="N78" s="16">
        <f t="shared" si="4"/>
        <v>18</v>
      </c>
      <c r="O78" s="16">
        <f t="shared" si="5"/>
        <v>0</v>
      </c>
      <c r="P78" s="16">
        <f t="shared" si="8"/>
        <v>11</v>
      </c>
      <c r="Q78" s="16">
        <f t="shared" si="8"/>
        <v>25</v>
      </c>
      <c r="R78" s="16">
        <f t="shared" si="8"/>
        <v>75</v>
      </c>
      <c r="S78" s="16">
        <f t="shared" si="8"/>
        <v>300</v>
      </c>
      <c r="T78" s="16">
        <f t="shared" si="8"/>
        <v>50</v>
      </c>
    </row>
    <row r="79" spans="1:20" s="16" customFormat="1">
      <c r="A79" s="17">
        <v>212</v>
      </c>
      <c r="B79" s="17" t="str">
        <f t="shared" si="0"/>
        <v>暗黑战士微型</v>
      </c>
      <c r="C79" s="17" t="str">
        <f t="shared" si="1"/>
        <v>沃玛寺庙</v>
      </c>
      <c r="D79" s="16">
        <f t="shared" si="7"/>
        <v>7</v>
      </c>
      <c r="E79" s="16">
        <f t="shared" si="7"/>
        <v>13</v>
      </c>
      <c r="F79" s="16">
        <f t="shared" si="7"/>
        <v>0</v>
      </c>
      <c r="G79" s="16">
        <f t="shared" si="7"/>
        <v>0</v>
      </c>
      <c r="H79" s="16">
        <f t="shared" si="7"/>
        <v>0</v>
      </c>
      <c r="I79" s="16">
        <f t="shared" si="7"/>
        <v>0</v>
      </c>
      <c r="J79" s="16">
        <f t="shared" si="3"/>
        <v>3</v>
      </c>
      <c r="K79" s="16">
        <f t="shared" si="3"/>
        <v>3</v>
      </c>
      <c r="L79" s="16">
        <f t="shared" si="3"/>
        <v>2</v>
      </c>
      <c r="M79" s="16">
        <f t="shared" si="3"/>
        <v>2</v>
      </c>
      <c r="N79" s="16">
        <f t="shared" si="4"/>
        <v>116</v>
      </c>
      <c r="O79" s="16">
        <f t="shared" si="5"/>
        <v>0</v>
      </c>
      <c r="P79" s="16">
        <f t="shared" si="8"/>
        <v>15</v>
      </c>
      <c r="Q79" s="16">
        <f t="shared" si="8"/>
        <v>15</v>
      </c>
      <c r="R79" s="16">
        <f t="shared" si="8"/>
        <v>75</v>
      </c>
      <c r="S79" s="16">
        <f t="shared" si="8"/>
        <v>300</v>
      </c>
      <c r="T79" s="16">
        <f t="shared" si="8"/>
        <v>50</v>
      </c>
    </row>
    <row r="80" spans="1:20" s="16" customFormat="1">
      <c r="A80" s="17">
        <v>213</v>
      </c>
      <c r="B80" s="17" t="str">
        <f t="shared" si="0"/>
        <v>沃玛战士微型</v>
      </c>
      <c r="C80" s="17" t="str">
        <f t="shared" si="1"/>
        <v>沃玛寺庙</v>
      </c>
      <c r="D80" s="16">
        <f t="shared" si="7"/>
        <v>11</v>
      </c>
      <c r="E80" s="16">
        <f t="shared" si="7"/>
        <v>22</v>
      </c>
      <c r="F80" s="16">
        <f t="shared" si="7"/>
        <v>0</v>
      </c>
      <c r="G80" s="16">
        <f t="shared" si="7"/>
        <v>0</v>
      </c>
      <c r="H80" s="16">
        <f t="shared" si="7"/>
        <v>0</v>
      </c>
      <c r="I80" s="16">
        <f t="shared" si="7"/>
        <v>0</v>
      </c>
      <c r="J80" s="16">
        <f t="shared" si="3"/>
        <v>3</v>
      </c>
      <c r="K80" s="16">
        <f t="shared" si="3"/>
        <v>3</v>
      </c>
      <c r="L80" s="16">
        <f t="shared" si="3"/>
        <v>2</v>
      </c>
      <c r="M80" s="16">
        <f t="shared" si="3"/>
        <v>2</v>
      </c>
      <c r="N80" s="16">
        <f t="shared" si="4"/>
        <v>186</v>
      </c>
      <c r="O80" s="16">
        <f t="shared" si="5"/>
        <v>0</v>
      </c>
      <c r="P80" s="16">
        <f t="shared" si="8"/>
        <v>13</v>
      </c>
      <c r="Q80" s="16">
        <f t="shared" si="8"/>
        <v>15</v>
      </c>
      <c r="R80" s="16">
        <f t="shared" si="8"/>
        <v>75</v>
      </c>
      <c r="S80" s="16">
        <f t="shared" si="8"/>
        <v>300</v>
      </c>
      <c r="T80" s="16">
        <f t="shared" si="8"/>
        <v>50</v>
      </c>
    </row>
    <row r="81" spans="1:20" s="16" customFormat="1">
      <c r="A81" s="17">
        <v>214</v>
      </c>
      <c r="B81" s="17" t="str">
        <f t="shared" si="0"/>
        <v>沃玛勇士微型</v>
      </c>
      <c r="C81" s="17" t="str">
        <f t="shared" si="1"/>
        <v>沃玛寺庙</v>
      </c>
      <c r="D81" s="16">
        <f t="shared" si="7"/>
        <v>13</v>
      </c>
      <c r="E81" s="16">
        <f t="shared" si="7"/>
        <v>22</v>
      </c>
      <c r="F81" s="16">
        <f t="shared" si="7"/>
        <v>0</v>
      </c>
      <c r="G81" s="16">
        <f t="shared" si="7"/>
        <v>0</v>
      </c>
      <c r="H81" s="16">
        <f t="shared" si="7"/>
        <v>0</v>
      </c>
      <c r="I81" s="16">
        <f t="shared" si="7"/>
        <v>0</v>
      </c>
      <c r="J81" s="16">
        <f t="shared" si="3"/>
        <v>3</v>
      </c>
      <c r="K81" s="16">
        <f t="shared" si="3"/>
        <v>3</v>
      </c>
      <c r="L81" s="16">
        <f t="shared" si="3"/>
        <v>2</v>
      </c>
      <c r="M81" s="16">
        <f t="shared" si="3"/>
        <v>2</v>
      </c>
      <c r="N81" s="16">
        <f t="shared" si="4"/>
        <v>200</v>
      </c>
      <c r="O81" s="16">
        <f t="shared" si="5"/>
        <v>0</v>
      </c>
      <c r="P81" s="16">
        <f t="shared" si="8"/>
        <v>13</v>
      </c>
      <c r="Q81" s="16">
        <f t="shared" si="8"/>
        <v>15</v>
      </c>
      <c r="R81" s="16">
        <f t="shared" si="8"/>
        <v>75</v>
      </c>
      <c r="S81" s="16">
        <f t="shared" si="8"/>
        <v>300</v>
      </c>
      <c r="T81" s="16">
        <f t="shared" si="8"/>
        <v>50</v>
      </c>
    </row>
    <row r="82" spans="1:20" s="16" customFormat="1">
      <c r="A82" s="17">
        <v>215</v>
      </c>
      <c r="B82" s="17" t="str">
        <f t="shared" si="0"/>
        <v>沃玛战将微型</v>
      </c>
      <c r="C82" s="17" t="str">
        <f t="shared" si="1"/>
        <v>沃玛寺庙</v>
      </c>
      <c r="D82" s="16">
        <f t="shared" si="7"/>
        <v>12</v>
      </c>
      <c r="E82" s="16">
        <f t="shared" si="7"/>
        <v>23</v>
      </c>
      <c r="F82" s="16">
        <f t="shared" si="7"/>
        <v>0</v>
      </c>
      <c r="G82" s="16">
        <f t="shared" si="7"/>
        <v>0</v>
      </c>
      <c r="H82" s="16">
        <f t="shared" si="7"/>
        <v>0</v>
      </c>
      <c r="I82" s="16">
        <f t="shared" si="7"/>
        <v>0</v>
      </c>
      <c r="J82" s="16">
        <f t="shared" si="3"/>
        <v>3</v>
      </c>
      <c r="K82" s="16">
        <f t="shared" si="3"/>
        <v>3</v>
      </c>
      <c r="L82" s="16">
        <f t="shared" si="3"/>
        <v>2</v>
      </c>
      <c r="M82" s="16">
        <f t="shared" si="3"/>
        <v>2</v>
      </c>
      <c r="N82" s="16">
        <f t="shared" si="4"/>
        <v>200</v>
      </c>
      <c r="O82" s="16">
        <f t="shared" si="5"/>
        <v>0</v>
      </c>
      <c r="P82" s="16">
        <f t="shared" si="8"/>
        <v>13</v>
      </c>
      <c r="Q82" s="16">
        <f t="shared" si="8"/>
        <v>15</v>
      </c>
      <c r="R82" s="16">
        <f t="shared" si="8"/>
        <v>75</v>
      </c>
      <c r="S82" s="16">
        <f t="shared" si="8"/>
        <v>300</v>
      </c>
      <c r="T82" s="16">
        <f t="shared" si="8"/>
        <v>50</v>
      </c>
    </row>
    <row r="83" spans="1:20" s="16" customFormat="1">
      <c r="A83" s="17">
        <v>216</v>
      </c>
      <c r="B83" s="17" t="str">
        <f t="shared" si="0"/>
        <v>火焰沃玛微型</v>
      </c>
      <c r="C83" s="17" t="str">
        <f t="shared" si="1"/>
        <v>沃玛寺庙</v>
      </c>
      <c r="D83" s="16">
        <f t="shared" si="7"/>
        <v>11</v>
      </c>
      <c r="E83" s="16">
        <f t="shared" si="7"/>
        <v>21</v>
      </c>
      <c r="F83" s="16">
        <f t="shared" si="7"/>
        <v>0</v>
      </c>
      <c r="G83" s="16">
        <f t="shared" si="7"/>
        <v>0</v>
      </c>
      <c r="H83" s="16">
        <f t="shared" si="7"/>
        <v>0</v>
      </c>
      <c r="I83" s="16">
        <f t="shared" si="7"/>
        <v>0</v>
      </c>
      <c r="J83" s="16">
        <f t="shared" si="3"/>
        <v>0</v>
      </c>
      <c r="K83" s="16">
        <f t="shared" si="3"/>
        <v>0</v>
      </c>
      <c r="L83" s="16">
        <f t="shared" si="3"/>
        <v>0</v>
      </c>
      <c r="M83" s="16">
        <f t="shared" si="3"/>
        <v>0</v>
      </c>
      <c r="N83" s="16">
        <f t="shared" si="4"/>
        <v>238</v>
      </c>
      <c r="O83" s="16">
        <f t="shared" si="5"/>
        <v>0</v>
      </c>
      <c r="P83" s="16">
        <f t="shared" si="8"/>
        <v>20</v>
      </c>
      <c r="Q83" s="16">
        <f t="shared" si="8"/>
        <v>20</v>
      </c>
      <c r="R83" s="16">
        <f t="shared" si="8"/>
        <v>75</v>
      </c>
      <c r="S83" s="16">
        <f t="shared" si="8"/>
        <v>300</v>
      </c>
      <c r="T83" s="16">
        <f t="shared" si="8"/>
        <v>50</v>
      </c>
    </row>
    <row r="84" spans="1:20" s="16" customFormat="1">
      <c r="A84" s="17">
        <v>217</v>
      </c>
      <c r="B84" s="17" t="str">
        <f t="shared" si="0"/>
        <v>盔甲虫微型</v>
      </c>
      <c r="C84" s="17" t="str">
        <f t="shared" si="1"/>
        <v>盟重</v>
      </c>
      <c r="D84" s="16">
        <f t="shared" ref="D84:I93" si="9">ROUND(D28*0.8,0)</f>
        <v>3</v>
      </c>
      <c r="E84" s="16">
        <f t="shared" si="9"/>
        <v>8</v>
      </c>
      <c r="F84" s="16">
        <f t="shared" si="9"/>
        <v>0</v>
      </c>
      <c r="G84" s="16">
        <f t="shared" si="9"/>
        <v>0</v>
      </c>
      <c r="H84" s="16">
        <f t="shared" si="9"/>
        <v>0</v>
      </c>
      <c r="I84" s="16">
        <f t="shared" si="9"/>
        <v>0</v>
      </c>
      <c r="J84" s="16">
        <f t="shared" ref="J84:M103" si="10">J28</f>
        <v>0</v>
      </c>
      <c r="K84" s="16">
        <f t="shared" si="10"/>
        <v>0</v>
      </c>
      <c r="L84" s="16">
        <f t="shared" si="10"/>
        <v>0</v>
      </c>
      <c r="M84" s="16">
        <f t="shared" si="10"/>
        <v>0</v>
      </c>
      <c r="N84" s="16">
        <f t="shared" si="4"/>
        <v>35</v>
      </c>
      <c r="O84" s="16">
        <f t="shared" si="5"/>
        <v>0</v>
      </c>
      <c r="P84" s="16">
        <f t="shared" ref="P84:T93" si="11">P28</f>
        <v>7</v>
      </c>
      <c r="Q84" s="16">
        <f t="shared" si="11"/>
        <v>12</v>
      </c>
      <c r="R84" s="16">
        <f t="shared" si="11"/>
        <v>75</v>
      </c>
      <c r="S84" s="16">
        <f t="shared" si="11"/>
        <v>300</v>
      </c>
      <c r="T84" s="16">
        <f t="shared" si="11"/>
        <v>50</v>
      </c>
    </row>
    <row r="85" spans="1:20" s="16" customFormat="1">
      <c r="A85" s="17">
        <v>238</v>
      </c>
      <c r="B85" s="17" t="str">
        <f t="shared" si="0"/>
        <v>熊微型</v>
      </c>
      <c r="C85" s="17" t="str">
        <f t="shared" si="1"/>
        <v>盟重</v>
      </c>
      <c r="D85" s="16">
        <f t="shared" si="9"/>
        <v>4</v>
      </c>
      <c r="E85" s="16">
        <f t="shared" si="9"/>
        <v>6</v>
      </c>
      <c r="F85" s="16">
        <f t="shared" si="9"/>
        <v>0</v>
      </c>
      <c r="G85" s="16">
        <f t="shared" si="9"/>
        <v>0</v>
      </c>
      <c r="H85" s="16">
        <f t="shared" si="9"/>
        <v>0</v>
      </c>
      <c r="I85" s="16">
        <f t="shared" si="9"/>
        <v>0</v>
      </c>
      <c r="J85" s="16">
        <f t="shared" si="10"/>
        <v>0</v>
      </c>
      <c r="K85" s="16">
        <f t="shared" si="10"/>
        <v>0</v>
      </c>
      <c r="L85" s="16">
        <f t="shared" si="10"/>
        <v>0</v>
      </c>
      <c r="M85" s="16">
        <f t="shared" si="10"/>
        <v>0</v>
      </c>
      <c r="N85" s="16">
        <f t="shared" si="4"/>
        <v>32</v>
      </c>
      <c r="O85" s="16">
        <f t="shared" si="5"/>
        <v>0</v>
      </c>
      <c r="P85" s="16">
        <f t="shared" si="11"/>
        <v>10</v>
      </c>
      <c r="Q85" s="16">
        <f t="shared" si="11"/>
        <v>12</v>
      </c>
      <c r="R85" s="16">
        <f t="shared" si="11"/>
        <v>75</v>
      </c>
      <c r="S85" s="16">
        <f t="shared" si="11"/>
        <v>300</v>
      </c>
      <c r="T85" s="16">
        <f t="shared" si="11"/>
        <v>50</v>
      </c>
    </row>
    <row r="86" spans="1:20" s="16" customFormat="1">
      <c r="A86" s="17">
        <v>218</v>
      </c>
      <c r="B86" s="17" t="str">
        <f t="shared" si="0"/>
        <v>狼微型</v>
      </c>
      <c r="C86" s="17" t="str">
        <f t="shared" si="1"/>
        <v>盟重</v>
      </c>
      <c r="D86" s="16">
        <f t="shared" si="9"/>
        <v>5</v>
      </c>
      <c r="E86" s="16">
        <f t="shared" si="9"/>
        <v>7</v>
      </c>
      <c r="F86" s="16">
        <f t="shared" si="9"/>
        <v>0</v>
      </c>
      <c r="G86" s="16">
        <f t="shared" si="9"/>
        <v>0</v>
      </c>
      <c r="H86" s="16">
        <f t="shared" si="9"/>
        <v>0</v>
      </c>
      <c r="I86" s="16">
        <f t="shared" si="9"/>
        <v>0</v>
      </c>
      <c r="J86" s="16">
        <f t="shared" si="10"/>
        <v>0</v>
      </c>
      <c r="K86" s="16">
        <f t="shared" si="10"/>
        <v>0</v>
      </c>
      <c r="L86" s="16">
        <f t="shared" si="10"/>
        <v>0</v>
      </c>
      <c r="M86" s="16">
        <f t="shared" si="10"/>
        <v>0</v>
      </c>
      <c r="N86" s="16">
        <f t="shared" si="4"/>
        <v>26</v>
      </c>
      <c r="O86" s="16">
        <f t="shared" si="5"/>
        <v>0</v>
      </c>
      <c r="P86" s="16">
        <f t="shared" si="11"/>
        <v>10</v>
      </c>
      <c r="Q86" s="16">
        <f t="shared" si="11"/>
        <v>13</v>
      </c>
      <c r="R86" s="16">
        <f t="shared" si="11"/>
        <v>75</v>
      </c>
      <c r="S86" s="16">
        <f t="shared" si="11"/>
        <v>300</v>
      </c>
      <c r="T86" s="16">
        <f t="shared" si="11"/>
        <v>50</v>
      </c>
    </row>
    <row r="87" spans="1:20" s="16" customFormat="1">
      <c r="A87" s="17">
        <v>219</v>
      </c>
      <c r="B87" s="17" t="str">
        <f t="shared" si="0"/>
        <v>多角虫微型</v>
      </c>
      <c r="C87" s="17" t="str">
        <f t="shared" si="1"/>
        <v>盟重</v>
      </c>
      <c r="D87" s="16">
        <f t="shared" si="9"/>
        <v>6</v>
      </c>
      <c r="E87" s="16">
        <f t="shared" si="9"/>
        <v>6</v>
      </c>
      <c r="F87" s="16">
        <f t="shared" si="9"/>
        <v>0</v>
      </c>
      <c r="G87" s="16">
        <f t="shared" si="9"/>
        <v>0</v>
      </c>
      <c r="H87" s="16">
        <f t="shared" si="9"/>
        <v>0</v>
      </c>
      <c r="I87" s="16">
        <f t="shared" si="9"/>
        <v>0</v>
      </c>
      <c r="J87" s="16">
        <f t="shared" si="10"/>
        <v>0</v>
      </c>
      <c r="K87" s="16">
        <f t="shared" si="10"/>
        <v>0</v>
      </c>
      <c r="L87" s="16">
        <f t="shared" si="10"/>
        <v>0</v>
      </c>
      <c r="M87" s="16">
        <f t="shared" si="10"/>
        <v>0</v>
      </c>
      <c r="N87" s="16">
        <f t="shared" si="4"/>
        <v>36</v>
      </c>
      <c r="O87" s="16">
        <f t="shared" si="5"/>
        <v>0</v>
      </c>
      <c r="P87" s="16">
        <f t="shared" si="11"/>
        <v>10</v>
      </c>
      <c r="Q87" s="16">
        <f t="shared" si="11"/>
        <v>13</v>
      </c>
      <c r="R87" s="16">
        <f t="shared" si="11"/>
        <v>75</v>
      </c>
      <c r="S87" s="16">
        <f t="shared" si="11"/>
        <v>300</v>
      </c>
      <c r="T87" s="16">
        <f t="shared" si="11"/>
        <v>50</v>
      </c>
    </row>
    <row r="88" spans="1:20" s="16" customFormat="1">
      <c r="A88" s="17">
        <v>220</v>
      </c>
      <c r="B88" s="17" t="str">
        <f t="shared" si="0"/>
        <v>蜈蚣微型</v>
      </c>
      <c r="C88" s="17" t="str">
        <f t="shared" si="1"/>
        <v>死亡峡谷</v>
      </c>
      <c r="D88" s="16">
        <f t="shared" si="9"/>
        <v>10</v>
      </c>
      <c r="E88" s="16">
        <f t="shared" si="9"/>
        <v>14</v>
      </c>
      <c r="F88" s="16">
        <f t="shared" si="9"/>
        <v>0</v>
      </c>
      <c r="G88" s="16">
        <f t="shared" si="9"/>
        <v>0</v>
      </c>
      <c r="H88" s="16">
        <f t="shared" si="9"/>
        <v>0</v>
      </c>
      <c r="I88" s="16">
        <f t="shared" si="9"/>
        <v>0</v>
      </c>
      <c r="J88" s="16">
        <f t="shared" si="10"/>
        <v>0</v>
      </c>
      <c r="K88" s="16">
        <f t="shared" si="10"/>
        <v>0</v>
      </c>
      <c r="L88" s="16">
        <f t="shared" si="10"/>
        <v>5</v>
      </c>
      <c r="M88" s="16">
        <f t="shared" si="10"/>
        <v>5</v>
      </c>
      <c r="N88" s="16">
        <f t="shared" ref="N88:N97" si="12">ROUND(N32*0.7,-1)</f>
        <v>160</v>
      </c>
      <c r="O88" s="16">
        <f t="shared" si="5"/>
        <v>0</v>
      </c>
      <c r="P88" s="16">
        <f t="shared" si="11"/>
        <v>13</v>
      </c>
      <c r="Q88" s="16">
        <f t="shared" si="11"/>
        <v>15</v>
      </c>
      <c r="R88" s="16">
        <f t="shared" si="11"/>
        <v>75</v>
      </c>
      <c r="S88" s="16">
        <f t="shared" si="11"/>
        <v>300</v>
      </c>
      <c r="T88" s="16">
        <f t="shared" si="11"/>
        <v>50</v>
      </c>
    </row>
    <row r="89" spans="1:20" s="16" customFormat="1">
      <c r="A89" s="17">
        <v>221</v>
      </c>
      <c r="B89" s="17" t="str">
        <f t="shared" si="0"/>
        <v>巨型蠕虫微型</v>
      </c>
      <c r="C89" s="17" t="str">
        <f t="shared" si="1"/>
        <v>死亡峡谷</v>
      </c>
      <c r="D89" s="16">
        <f t="shared" si="9"/>
        <v>12</v>
      </c>
      <c r="E89" s="16">
        <f t="shared" si="9"/>
        <v>14</v>
      </c>
      <c r="F89" s="16">
        <f t="shared" si="9"/>
        <v>0</v>
      </c>
      <c r="G89" s="16">
        <f t="shared" si="9"/>
        <v>0</v>
      </c>
      <c r="H89" s="16">
        <f t="shared" si="9"/>
        <v>0</v>
      </c>
      <c r="I89" s="16">
        <f t="shared" si="9"/>
        <v>0</v>
      </c>
      <c r="J89" s="16">
        <f t="shared" si="10"/>
        <v>3</v>
      </c>
      <c r="K89" s="16">
        <f t="shared" si="10"/>
        <v>3</v>
      </c>
      <c r="L89" s="16">
        <f t="shared" si="10"/>
        <v>3</v>
      </c>
      <c r="M89" s="16">
        <f t="shared" si="10"/>
        <v>3</v>
      </c>
      <c r="N89" s="16">
        <f t="shared" si="12"/>
        <v>140</v>
      </c>
      <c r="O89" s="16">
        <f t="shared" si="5"/>
        <v>0</v>
      </c>
      <c r="P89" s="16">
        <f t="shared" si="11"/>
        <v>13</v>
      </c>
      <c r="Q89" s="16">
        <f t="shared" si="11"/>
        <v>15</v>
      </c>
      <c r="R89" s="16">
        <f t="shared" si="11"/>
        <v>75</v>
      </c>
      <c r="S89" s="16">
        <f t="shared" si="11"/>
        <v>300</v>
      </c>
      <c r="T89" s="16">
        <f t="shared" si="11"/>
        <v>50</v>
      </c>
    </row>
    <row r="90" spans="1:20" s="16" customFormat="1">
      <c r="A90" s="17">
        <v>222</v>
      </c>
      <c r="B90" s="17" t="str">
        <f t="shared" si="0"/>
        <v>钳虫微型</v>
      </c>
      <c r="C90" s="17" t="str">
        <f t="shared" si="1"/>
        <v>死亡峡谷</v>
      </c>
      <c r="D90" s="16">
        <f t="shared" si="9"/>
        <v>12</v>
      </c>
      <c r="E90" s="16">
        <f t="shared" si="9"/>
        <v>20</v>
      </c>
      <c r="F90" s="16">
        <f t="shared" si="9"/>
        <v>0</v>
      </c>
      <c r="G90" s="16">
        <f t="shared" si="9"/>
        <v>0</v>
      </c>
      <c r="H90" s="16">
        <f t="shared" si="9"/>
        <v>0</v>
      </c>
      <c r="I90" s="16">
        <f t="shared" si="9"/>
        <v>0</v>
      </c>
      <c r="J90" s="16">
        <f t="shared" si="10"/>
        <v>5</v>
      </c>
      <c r="K90" s="16">
        <f t="shared" si="10"/>
        <v>5</v>
      </c>
      <c r="L90" s="16">
        <f t="shared" si="10"/>
        <v>7</v>
      </c>
      <c r="M90" s="16">
        <f t="shared" si="10"/>
        <v>7</v>
      </c>
      <c r="N90" s="16">
        <f t="shared" si="12"/>
        <v>190</v>
      </c>
      <c r="O90" s="16">
        <f t="shared" si="5"/>
        <v>0</v>
      </c>
      <c r="P90" s="16">
        <f t="shared" si="11"/>
        <v>13</v>
      </c>
      <c r="Q90" s="16">
        <f t="shared" si="11"/>
        <v>15</v>
      </c>
      <c r="R90" s="16">
        <f t="shared" si="11"/>
        <v>75</v>
      </c>
      <c r="S90" s="16">
        <f t="shared" si="11"/>
        <v>300</v>
      </c>
      <c r="T90" s="16">
        <f t="shared" si="11"/>
        <v>50</v>
      </c>
    </row>
    <row r="91" spans="1:20" s="16" customFormat="1">
      <c r="A91" s="17">
        <v>223</v>
      </c>
      <c r="B91" s="17" t="str">
        <f t="shared" si="0"/>
        <v>跳跳蜂微型</v>
      </c>
      <c r="C91" s="17" t="str">
        <f t="shared" si="1"/>
        <v>死亡峡谷</v>
      </c>
      <c r="D91" s="16">
        <f t="shared" si="9"/>
        <v>10</v>
      </c>
      <c r="E91" s="16">
        <f t="shared" si="9"/>
        <v>14</v>
      </c>
      <c r="F91" s="16">
        <f t="shared" si="9"/>
        <v>0</v>
      </c>
      <c r="G91" s="16">
        <f t="shared" si="9"/>
        <v>0</v>
      </c>
      <c r="H91" s="16">
        <f t="shared" si="9"/>
        <v>0</v>
      </c>
      <c r="I91" s="16">
        <f t="shared" si="9"/>
        <v>0</v>
      </c>
      <c r="J91" s="16">
        <f t="shared" si="10"/>
        <v>3</v>
      </c>
      <c r="K91" s="16">
        <f t="shared" si="10"/>
        <v>3</v>
      </c>
      <c r="L91" s="16">
        <f t="shared" si="10"/>
        <v>3</v>
      </c>
      <c r="M91" s="16">
        <f t="shared" si="10"/>
        <v>3</v>
      </c>
      <c r="N91" s="16">
        <f t="shared" si="12"/>
        <v>140</v>
      </c>
      <c r="O91" s="16">
        <f t="shared" si="5"/>
        <v>0</v>
      </c>
      <c r="P91" s="16">
        <f t="shared" si="11"/>
        <v>13</v>
      </c>
      <c r="Q91" s="16">
        <f t="shared" si="11"/>
        <v>15</v>
      </c>
      <c r="R91" s="16">
        <f t="shared" si="11"/>
        <v>75</v>
      </c>
      <c r="S91" s="16">
        <f t="shared" si="11"/>
        <v>300</v>
      </c>
      <c r="T91" s="16">
        <f t="shared" si="11"/>
        <v>50</v>
      </c>
    </row>
    <row r="92" spans="1:20" s="16" customFormat="1">
      <c r="A92" s="17">
        <v>224</v>
      </c>
      <c r="B92" s="17" t="str">
        <f t="shared" si="0"/>
        <v>恶蛆微型</v>
      </c>
      <c r="C92" s="17" t="str">
        <f t="shared" si="1"/>
        <v>石墓</v>
      </c>
      <c r="D92" s="16">
        <f t="shared" si="9"/>
        <v>8</v>
      </c>
      <c r="E92" s="16">
        <f t="shared" si="9"/>
        <v>12</v>
      </c>
      <c r="F92" s="16">
        <f t="shared" si="9"/>
        <v>0</v>
      </c>
      <c r="G92" s="16">
        <f t="shared" si="9"/>
        <v>0</v>
      </c>
      <c r="H92" s="16">
        <f t="shared" si="9"/>
        <v>0</v>
      </c>
      <c r="I92" s="16">
        <f t="shared" si="9"/>
        <v>0</v>
      </c>
      <c r="J92" s="16">
        <f t="shared" si="10"/>
        <v>5</v>
      </c>
      <c r="K92" s="16">
        <f t="shared" si="10"/>
        <v>5</v>
      </c>
      <c r="L92" s="16">
        <f t="shared" si="10"/>
        <v>0</v>
      </c>
      <c r="M92" s="16">
        <f t="shared" si="10"/>
        <v>0</v>
      </c>
      <c r="N92" s="16">
        <f t="shared" si="12"/>
        <v>160</v>
      </c>
      <c r="O92" s="16">
        <f t="shared" si="5"/>
        <v>0</v>
      </c>
      <c r="P92" s="16">
        <f t="shared" si="11"/>
        <v>13</v>
      </c>
      <c r="Q92" s="16">
        <f t="shared" si="11"/>
        <v>15</v>
      </c>
      <c r="R92" s="16">
        <f t="shared" si="11"/>
        <v>75</v>
      </c>
      <c r="S92" s="16">
        <f t="shared" si="11"/>
        <v>300</v>
      </c>
      <c r="T92" s="16">
        <f t="shared" si="11"/>
        <v>50</v>
      </c>
    </row>
    <row r="93" spans="1:20" s="16" customFormat="1">
      <c r="A93" s="17">
        <v>225</v>
      </c>
      <c r="B93" s="17" t="str">
        <f t="shared" si="0"/>
        <v>红野猪微型</v>
      </c>
      <c r="C93" s="17" t="str">
        <f t="shared" si="1"/>
        <v>石墓</v>
      </c>
      <c r="D93" s="16">
        <f t="shared" si="9"/>
        <v>14</v>
      </c>
      <c r="E93" s="16">
        <f t="shared" si="9"/>
        <v>20</v>
      </c>
      <c r="F93" s="16">
        <f t="shared" si="9"/>
        <v>0</v>
      </c>
      <c r="G93" s="16">
        <f t="shared" si="9"/>
        <v>0</v>
      </c>
      <c r="H93" s="16">
        <f t="shared" si="9"/>
        <v>0</v>
      </c>
      <c r="I93" s="16">
        <f t="shared" si="9"/>
        <v>0</v>
      </c>
      <c r="J93" s="16">
        <f t="shared" si="10"/>
        <v>0</v>
      </c>
      <c r="K93" s="16">
        <f t="shared" si="10"/>
        <v>0</v>
      </c>
      <c r="L93" s="16">
        <f t="shared" si="10"/>
        <v>8</v>
      </c>
      <c r="M93" s="16">
        <f t="shared" si="10"/>
        <v>8</v>
      </c>
      <c r="N93" s="16">
        <f t="shared" si="12"/>
        <v>230</v>
      </c>
      <c r="O93" s="16">
        <f t="shared" si="5"/>
        <v>0</v>
      </c>
      <c r="P93" s="16">
        <f t="shared" si="11"/>
        <v>13</v>
      </c>
      <c r="Q93" s="16">
        <f t="shared" si="11"/>
        <v>15</v>
      </c>
      <c r="R93" s="16">
        <f t="shared" si="11"/>
        <v>75</v>
      </c>
      <c r="S93" s="16">
        <f t="shared" si="11"/>
        <v>300</v>
      </c>
      <c r="T93" s="16">
        <f t="shared" si="11"/>
        <v>50</v>
      </c>
    </row>
    <row r="94" spans="1:20" s="16" customFormat="1">
      <c r="A94" s="17">
        <v>226</v>
      </c>
      <c r="B94" s="17" t="str">
        <f t="shared" si="0"/>
        <v>黑野猪微型</v>
      </c>
      <c r="C94" s="17" t="str">
        <f t="shared" si="1"/>
        <v>石墓</v>
      </c>
      <c r="D94" s="16">
        <f t="shared" ref="D94:I103" si="13">ROUND(D38*0.8,0)</f>
        <v>16</v>
      </c>
      <c r="E94" s="16">
        <f t="shared" si="13"/>
        <v>21</v>
      </c>
      <c r="F94" s="16">
        <f t="shared" si="13"/>
        <v>0</v>
      </c>
      <c r="G94" s="16">
        <f t="shared" si="13"/>
        <v>0</v>
      </c>
      <c r="H94" s="16">
        <f t="shared" si="13"/>
        <v>0</v>
      </c>
      <c r="I94" s="16">
        <f t="shared" si="13"/>
        <v>0</v>
      </c>
      <c r="J94" s="16">
        <f t="shared" si="10"/>
        <v>10</v>
      </c>
      <c r="K94" s="16">
        <f t="shared" si="10"/>
        <v>10</v>
      </c>
      <c r="L94" s="16">
        <f t="shared" si="10"/>
        <v>0</v>
      </c>
      <c r="M94" s="16">
        <f t="shared" si="10"/>
        <v>0</v>
      </c>
      <c r="N94" s="16">
        <f t="shared" si="12"/>
        <v>220</v>
      </c>
      <c r="O94" s="16">
        <f t="shared" si="5"/>
        <v>0</v>
      </c>
      <c r="P94" s="16">
        <f t="shared" ref="P94:T103" si="14">P38</f>
        <v>13</v>
      </c>
      <c r="Q94" s="16">
        <f t="shared" si="14"/>
        <v>15</v>
      </c>
      <c r="R94" s="16">
        <f t="shared" si="14"/>
        <v>75</v>
      </c>
      <c r="S94" s="16">
        <f t="shared" si="14"/>
        <v>300</v>
      </c>
      <c r="T94" s="16">
        <f t="shared" si="14"/>
        <v>50</v>
      </c>
    </row>
    <row r="95" spans="1:20" s="16" customFormat="1">
      <c r="A95" s="17">
        <v>227</v>
      </c>
      <c r="B95" s="17" t="str">
        <f t="shared" si="0"/>
        <v>白野猪微型</v>
      </c>
      <c r="C95" s="17" t="str">
        <f t="shared" si="1"/>
        <v>石墓</v>
      </c>
      <c r="D95" s="16">
        <f t="shared" si="13"/>
        <v>24</v>
      </c>
      <c r="E95" s="16">
        <f t="shared" si="13"/>
        <v>44</v>
      </c>
      <c r="F95" s="16">
        <f t="shared" si="13"/>
        <v>0</v>
      </c>
      <c r="G95" s="16">
        <f t="shared" si="13"/>
        <v>0</v>
      </c>
      <c r="H95" s="16">
        <f t="shared" si="13"/>
        <v>0</v>
      </c>
      <c r="I95" s="16">
        <f t="shared" si="13"/>
        <v>0</v>
      </c>
      <c r="J95" s="16">
        <f t="shared" si="10"/>
        <v>15</v>
      </c>
      <c r="K95" s="16">
        <f t="shared" si="10"/>
        <v>15</v>
      </c>
      <c r="L95" s="16">
        <f t="shared" si="10"/>
        <v>15</v>
      </c>
      <c r="M95" s="16">
        <f t="shared" si="10"/>
        <v>15</v>
      </c>
      <c r="N95" s="16">
        <f t="shared" si="12"/>
        <v>700</v>
      </c>
      <c r="O95" s="16">
        <f t="shared" si="5"/>
        <v>0</v>
      </c>
      <c r="P95" s="16">
        <f t="shared" si="14"/>
        <v>17</v>
      </c>
      <c r="Q95" s="16">
        <f t="shared" si="14"/>
        <v>25</v>
      </c>
      <c r="R95" s="16">
        <f t="shared" si="14"/>
        <v>75</v>
      </c>
      <c r="S95" s="16">
        <f t="shared" si="14"/>
        <v>300</v>
      </c>
      <c r="T95" s="16">
        <f t="shared" si="14"/>
        <v>50</v>
      </c>
    </row>
    <row r="96" spans="1:20" s="16" customFormat="1">
      <c r="A96" s="17">
        <v>228</v>
      </c>
      <c r="B96" s="17" t="str">
        <f t="shared" ref="B96:B119" si="15">B40&amp;"微型"</f>
        <v>虹魔猪卫微型</v>
      </c>
      <c r="C96" s="17" t="str">
        <f t="shared" ref="C96:C119" si="16">C40</f>
        <v>虹魔教坛</v>
      </c>
      <c r="D96" s="16">
        <f t="shared" si="13"/>
        <v>32</v>
      </c>
      <c r="E96" s="16">
        <f t="shared" si="13"/>
        <v>48</v>
      </c>
      <c r="F96" s="16">
        <f t="shared" si="13"/>
        <v>0</v>
      </c>
      <c r="G96" s="16">
        <f t="shared" si="13"/>
        <v>0</v>
      </c>
      <c r="H96" s="16">
        <f t="shared" si="13"/>
        <v>0</v>
      </c>
      <c r="I96" s="16">
        <f t="shared" si="13"/>
        <v>0</v>
      </c>
      <c r="J96" s="16">
        <f t="shared" si="10"/>
        <v>20</v>
      </c>
      <c r="K96" s="16">
        <f t="shared" si="10"/>
        <v>20</v>
      </c>
      <c r="L96" s="16">
        <f t="shared" si="10"/>
        <v>20</v>
      </c>
      <c r="M96" s="16">
        <f t="shared" si="10"/>
        <v>20</v>
      </c>
      <c r="N96" s="16">
        <f t="shared" si="12"/>
        <v>1050</v>
      </c>
      <c r="O96" s="16">
        <f t="shared" ref="O96:O119" si="17">ROUND(O40*0.8,0)</f>
        <v>0</v>
      </c>
      <c r="P96" s="16">
        <f t="shared" si="14"/>
        <v>17</v>
      </c>
      <c r="Q96" s="16">
        <f t="shared" si="14"/>
        <v>25</v>
      </c>
      <c r="R96" s="16">
        <f t="shared" si="14"/>
        <v>75</v>
      </c>
      <c r="S96" s="16">
        <f t="shared" si="14"/>
        <v>300</v>
      </c>
      <c r="T96" s="16">
        <f t="shared" si="14"/>
        <v>50</v>
      </c>
    </row>
    <row r="97" spans="1:20" s="16" customFormat="1">
      <c r="A97" s="17">
        <v>229</v>
      </c>
      <c r="B97" s="17" t="str">
        <f t="shared" si="15"/>
        <v>虹魔蝎卫微型</v>
      </c>
      <c r="C97" s="17" t="str">
        <f t="shared" si="16"/>
        <v>虹魔教坛</v>
      </c>
      <c r="D97" s="16">
        <f t="shared" si="13"/>
        <v>36</v>
      </c>
      <c r="E97" s="16">
        <f t="shared" si="13"/>
        <v>52</v>
      </c>
      <c r="F97" s="16">
        <f t="shared" si="13"/>
        <v>0</v>
      </c>
      <c r="G97" s="16">
        <f t="shared" si="13"/>
        <v>0</v>
      </c>
      <c r="H97" s="16">
        <f t="shared" si="13"/>
        <v>0</v>
      </c>
      <c r="I97" s="16">
        <f t="shared" si="13"/>
        <v>0</v>
      </c>
      <c r="J97" s="16">
        <f t="shared" si="10"/>
        <v>25</v>
      </c>
      <c r="K97" s="16">
        <f t="shared" si="10"/>
        <v>25</v>
      </c>
      <c r="L97" s="16">
        <f t="shared" si="10"/>
        <v>25</v>
      </c>
      <c r="M97" s="16">
        <f t="shared" si="10"/>
        <v>25</v>
      </c>
      <c r="N97" s="16">
        <f t="shared" si="12"/>
        <v>1400</v>
      </c>
      <c r="O97" s="16">
        <f t="shared" si="17"/>
        <v>0</v>
      </c>
      <c r="P97" s="16">
        <f t="shared" si="14"/>
        <v>17</v>
      </c>
      <c r="Q97" s="16">
        <f t="shared" si="14"/>
        <v>25</v>
      </c>
      <c r="R97" s="16">
        <f t="shared" si="14"/>
        <v>75</v>
      </c>
      <c r="S97" s="16">
        <f t="shared" si="14"/>
        <v>300</v>
      </c>
      <c r="T97" s="16">
        <f t="shared" si="14"/>
        <v>50</v>
      </c>
    </row>
    <row r="98" spans="1:20" s="16" customFormat="1">
      <c r="A98" s="17">
        <v>230</v>
      </c>
      <c r="B98" s="17" t="str">
        <f t="shared" si="15"/>
        <v>残肢僵尸1微型</v>
      </c>
      <c r="C98" s="17" t="str">
        <f t="shared" si="16"/>
        <v>比奇矿区</v>
      </c>
      <c r="D98" s="16">
        <f t="shared" si="13"/>
        <v>4</v>
      </c>
      <c r="E98" s="16">
        <f t="shared" si="13"/>
        <v>10</v>
      </c>
      <c r="F98" s="16">
        <f t="shared" si="13"/>
        <v>0</v>
      </c>
      <c r="G98" s="16">
        <f t="shared" si="13"/>
        <v>0</v>
      </c>
      <c r="H98" s="16">
        <f t="shared" si="13"/>
        <v>0</v>
      </c>
      <c r="I98" s="16">
        <f t="shared" si="13"/>
        <v>0</v>
      </c>
      <c r="J98" s="16">
        <f t="shared" si="10"/>
        <v>2</v>
      </c>
      <c r="K98" s="16">
        <f t="shared" si="10"/>
        <v>2</v>
      </c>
      <c r="L98" s="16">
        <f t="shared" si="10"/>
        <v>1</v>
      </c>
      <c r="M98" s="16">
        <f t="shared" si="10"/>
        <v>1</v>
      </c>
      <c r="N98" s="16">
        <f>ROUND(N42*0.7,0)</f>
        <v>54</v>
      </c>
      <c r="O98" s="16">
        <f t="shared" si="17"/>
        <v>0</v>
      </c>
      <c r="P98" s="16">
        <f t="shared" si="14"/>
        <v>5</v>
      </c>
      <c r="Q98" s="16">
        <f t="shared" si="14"/>
        <v>10</v>
      </c>
      <c r="R98" s="16">
        <f t="shared" si="14"/>
        <v>75</v>
      </c>
      <c r="S98" s="16">
        <f t="shared" si="14"/>
        <v>300</v>
      </c>
      <c r="T98" s="16">
        <f t="shared" si="14"/>
        <v>50</v>
      </c>
    </row>
    <row r="99" spans="1:20" s="16" customFormat="1">
      <c r="A99" s="17">
        <v>231</v>
      </c>
      <c r="B99" s="17" t="str">
        <f t="shared" si="15"/>
        <v>直立僵尸2微型</v>
      </c>
      <c r="C99" s="17" t="str">
        <f t="shared" si="16"/>
        <v>比奇矿区</v>
      </c>
      <c r="D99" s="16">
        <f t="shared" si="13"/>
        <v>4</v>
      </c>
      <c r="E99" s="16">
        <f t="shared" si="13"/>
        <v>12</v>
      </c>
      <c r="F99" s="16">
        <f t="shared" si="13"/>
        <v>0</v>
      </c>
      <c r="G99" s="16">
        <f t="shared" si="13"/>
        <v>0</v>
      </c>
      <c r="H99" s="16">
        <f t="shared" si="13"/>
        <v>0</v>
      </c>
      <c r="I99" s="16">
        <f t="shared" si="13"/>
        <v>0</v>
      </c>
      <c r="J99" s="16">
        <f t="shared" si="10"/>
        <v>2</v>
      </c>
      <c r="K99" s="16">
        <f t="shared" si="10"/>
        <v>2</v>
      </c>
      <c r="L99" s="16">
        <f t="shared" si="10"/>
        <v>1</v>
      </c>
      <c r="M99" s="16">
        <f t="shared" si="10"/>
        <v>1</v>
      </c>
      <c r="N99" s="16">
        <f>ROUND(N43*0.7,0)</f>
        <v>54</v>
      </c>
      <c r="O99" s="16">
        <f t="shared" si="17"/>
        <v>0</v>
      </c>
      <c r="P99" s="16">
        <f t="shared" si="14"/>
        <v>5</v>
      </c>
      <c r="Q99" s="16">
        <f t="shared" si="14"/>
        <v>10</v>
      </c>
      <c r="R99" s="16">
        <f t="shared" si="14"/>
        <v>75</v>
      </c>
      <c r="S99" s="16">
        <f t="shared" si="14"/>
        <v>300</v>
      </c>
      <c r="T99" s="16">
        <f t="shared" si="14"/>
        <v>50</v>
      </c>
    </row>
    <row r="100" spans="1:20" s="16" customFormat="1">
      <c r="A100" s="17">
        <v>232</v>
      </c>
      <c r="B100" s="17" t="str">
        <f t="shared" si="15"/>
        <v>残肢僵尸1微型</v>
      </c>
      <c r="C100" s="17" t="str">
        <f t="shared" si="16"/>
        <v>比奇矿区</v>
      </c>
      <c r="D100" s="16">
        <f t="shared" si="13"/>
        <v>4</v>
      </c>
      <c r="E100" s="16">
        <f t="shared" si="13"/>
        <v>10</v>
      </c>
      <c r="F100" s="16">
        <f t="shared" si="13"/>
        <v>0</v>
      </c>
      <c r="G100" s="16">
        <f t="shared" si="13"/>
        <v>0</v>
      </c>
      <c r="H100" s="16">
        <f t="shared" si="13"/>
        <v>0</v>
      </c>
      <c r="I100" s="16">
        <f t="shared" si="13"/>
        <v>0</v>
      </c>
      <c r="J100" s="16">
        <f t="shared" si="10"/>
        <v>2</v>
      </c>
      <c r="K100" s="16">
        <f t="shared" si="10"/>
        <v>2</v>
      </c>
      <c r="L100" s="16">
        <f t="shared" si="10"/>
        <v>1</v>
      </c>
      <c r="M100" s="16">
        <f t="shared" si="10"/>
        <v>1</v>
      </c>
      <c r="N100" s="16">
        <f>ROUND(N44*0.7,0)</f>
        <v>27</v>
      </c>
      <c r="O100" s="16">
        <f t="shared" si="17"/>
        <v>0</v>
      </c>
      <c r="P100" s="16">
        <f t="shared" si="14"/>
        <v>5</v>
      </c>
      <c r="Q100" s="16">
        <f t="shared" si="14"/>
        <v>10</v>
      </c>
      <c r="R100" s="16">
        <f t="shared" si="14"/>
        <v>75</v>
      </c>
      <c r="S100" s="16">
        <f t="shared" si="14"/>
        <v>300</v>
      </c>
      <c r="T100" s="16">
        <f t="shared" si="14"/>
        <v>50</v>
      </c>
    </row>
    <row r="101" spans="1:20" s="16" customFormat="1">
      <c r="A101" s="17">
        <v>233</v>
      </c>
      <c r="B101" s="17" t="str">
        <f t="shared" si="15"/>
        <v>直立僵尸2微型</v>
      </c>
      <c r="C101" s="17" t="str">
        <f t="shared" si="16"/>
        <v>比奇矿区</v>
      </c>
      <c r="D101" s="16">
        <f t="shared" si="13"/>
        <v>4</v>
      </c>
      <c r="E101" s="16">
        <f t="shared" si="13"/>
        <v>12</v>
      </c>
      <c r="F101" s="16">
        <f t="shared" si="13"/>
        <v>0</v>
      </c>
      <c r="G101" s="16">
        <f t="shared" si="13"/>
        <v>0</v>
      </c>
      <c r="H101" s="16">
        <f t="shared" si="13"/>
        <v>0</v>
      </c>
      <c r="I101" s="16">
        <f t="shared" si="13"/>
        <v>0</v>
      </c>
      <c r="J101" s="16">
        <f t="shared" si="10"/>
        <v>2</v>
      </c>
      <c r="K101" s="16">
        <f t="shared" si="10"/>
        <v>2</v>
      </c>
      <c r="L101" s="16">
        <f t="shared" si="10"/>
        <v>1</v>
      </c>
      <c r="M101" s="16">
        <f t="shared" si="10"/>
        <v>1</v>
      </c>
      <c r="N101" s="16">
        <f>ROUND(N45*0.7,0)</f>
        <v>27</v>
      </c>
      <c r="O101" s="16">
        <f t="shared" si="17"/>
        <v>0</v>
      </c>
      <c r="P101" s="16">
        <f t="shared" si="14"/>
        <v>5</v>
      </c>
      <c r="Q101" s="16">
        <f t="shared" si="14"/>
        <v>10</v>
      </c>
      <c r="R101" s="16">
        <f t="shared" si="14"/>
        <v>75</v>
      </c>
      <c r="S101" s="16">
        <f t="shared" si="14"/>
        <v>300</v>
      </c>
      <c r="T101" s="16">
        <f t="shared" si="14"/>
        <v>50</v>
      </c>
    </row>
    <row r="102" spans="1:20" s="16" customFormat="1">
      <c r="A102" s="17">
        <v>234</v>
      </c>
      <c r="B102" s="17" t="str">
        <f t="shared" si="15"/>
        <v>祖玛老鼠微型</v>
      </c>
      <c r="C102" s="17" t="str">
        <f t="shared" si="16"/>
        <v>祖玛寺庙</v>
      </c>
      <c r="D102" s="16">
        <f t="shared" si="13"/>
        <v>10</v>
      </c>
      <c r="E102" s="16">
        <f t="shared" si="13"/>
        <v>18</v>
      </c>
      <c r="F102" s="16">
        <f t="shared" si="13"/>
        <v>0</v>
      </c>
      <c r="G102" s="16">
        <f t="shared" si="13"/>
        <v>0</v>
      </c>
      <c r="H102" s="16">
        <f t="shared" si="13"/>
        <v>0</v>
      </c>
      <c r="I102" s="16">
        <f t="shared" si="13"/>
        <v>0</v>
      </c>
      <c r="J102" s="16">
        <f t="shared" si="10"/>
        <v>3</v>
      </c>
      <c r="K102" s="16">
        <f t="shared" si="10"/>
        <v>3</v>
      </c>
      <c r="L102" s="16">
        <f t="shared" si="10"/>
        <v>5</v>
      </c>
      <c r="M102" s="16">
        <f t="shared" si="10"/>
        <v>5</v>
      </c>
      <c r="N102" s="16">
        <f>ROUND(N46*0.7,-1)</f>
        <v>270</v>
      </c>
      <c r="O102" s="16">
        <f t="shared" si="17"/>
        <v>0</v>
      </c>
      <c r="P102" s="16">
        <f t="shared" si="14"/>
        <v>12</v>
      </c>
      <c r="Q102" s="16">
        <f t="shared" si="14"/>
        <v>15</v>
      </c>
      <c r="R102" s="16">
        <f t="shared" si="14"/>
        <v>75</v>
      </c>
      <c r="S102" s="16">
        <f t="shared" si="14"/>
        <v>300</v>
      </c>
      <c r="T102" s="16">
        <f t="shared" si="14"/>
        <v>50</v>
      </c>
    </row>
    <row r="103" spans="1:20" s="16" customFormat="1">
      <c r="A103" s="17">
        <v>235</v>
      </c>
      <c r="B103" s="17" t="str">
        <f t="shared" si="15"/>
        <v>祖玛卫士弓微型</v>
      </c>
      <c r="C103" s="17" t="str">
        <f t="shared" si="16"/>
        <v>祖玛寺庙</v>
      </c>
      <c r="D103" s="16">
        <f t="shared" si="13"/>
        <v>10</v>
      </c>
      <c r="E103" s="16">
        <f t="shared" si="13"/>
        <v>14</v>
      </c>
      <c r="F103" s="16">
        <f t="shared" si="13"/>
        <v>0</v>
      </c>
      <c r="G103" s="16">
        <f t="shared" si="13"/>
        <v>0</v>
      </c>
      <c r="H103" s="16">
        <f t="shared" si="13"/>
        <v>0</v>
      </c>
      <c r="I103" s="16">
        <f t="shared" si="13"/>
        <v>0</v>
      </c>
      <c r="J103" s="16">
        <f t="shared" si="10"/>
        <v>10</v>
      </c>
      <c r="K103" s="16">
        <f t="shared" si="10"/>
        <v>10</v>
      </c>
      <c r="L103" s="16">
        <f t="shared" si="10"/>
        <v>10</v>
      </c>
      <c r="M103" s="16">
        <f t="shared" si="10"/>
        <v>10</v>
      </c>
      <c r="N103" s="16">
        <f>ROUND(N47*0.7,-1)</f>
        <v>270</v>
      </c>
      <c r="O103" s="16">
        <f t="shared" si="17"/>
        <v>0</v>
      </c>
      <c r="P103" s="16">
        <f t="shared" si="14"/>
        <v>15</v>
      </c>
      <c r="Q103" s="16">
        <f t="shared" si="14"/>
        <v>15</v>
      </c>
      <c r="R103" s="16">
        <f t="shared" si="14"/>
        <v>75</v>
      </c>
      <c r="S103" s="16">
        <f t="shared" si="14"/>
        <v>300</v>
      </c>
      <c r="T103" s="16">
        <f t="shared" si="14"/>
        <v>50</v>
      </c>
    </row>
    <row r="104" spans="1:20" s="16" customFormat="1">
      <c r="A104" s="17">
        <v>236</v>
      </c>
      <c r="B104" s="17" t="str">
        <f t="shared" si="15"/>
        <v>祖玛卫士枪微型</v>
      </c>
      <c r="C104" s="17" t="str">
        <f t="shared" si="16"/>
        <v>祖玛寺庙</v>
      </c>
      <c r="D104" s="16">
        <f t="shared" ref="D104:I108" si="18">ROUND(D48*0.8,0)</f>
        <v>16</v>
      </c>
      <c r="E104" s="16">
        <f t="shared" si="18"/>
        <v>26</v>
      </c>
      <c r="F104" s="16">
        <f t="shared" si="18"/>
        <v>0</v>
      </c>
      <c r="G104" s="16">
        <f t="shared" si="18"/>
        <v>0</v>
      </c>
      <c r="H104" s="16">
        <f t="shared" si="18"/>
        <v>0</v>
      </c>
      <c r="I104" s="16">
        <f t="shared" si="18"/>
        <v>0</v>
      </c>
      <c r="J104" s="16">
        <f t="shared" ref="J104:M108" si="19">J48</f>
        <v>12</v>
      </c>
      <c r="K104" s="16">
        <f t="shared" si="19"/>
        <v>12</v>
      </c>
      <c r="L104" s="16">
        <f t="shared" si="19"/>
        <v>12</v>
      </c>
      <c r="M104" s="16">
        <f t="shared" si="19"/>
        <v>12</v>
      </c>
      <c r="N104" s="16">
        <f>ROUND(N48*0.7,-1)</f>
        <v>350</v>
      </c>
      <c r="O104" s="16">
        <f t="shared" si="17"/>
        <v>0</v>
      </c>
      <c r="P104" s="16">
        <f t="shared" ref="P104:T108" si="20">P48</f>
        <v>15</v>
      </c>
      <c r="Q104" s="16">
        <f t="shared" si="20"/>
        <v>17</v>
      </c>
      <c r="R104" s="16">
        <f t="shared" si="20"/>
        <v>75</v>
      </c>
      <c r="S104" s="16">
        <f t="shared" si="20"/>
        <v>300</v>
      </c>
      <c r="T104" s="16">
        <f t="shared" si="20"/>
        <v>50</v>
      </c>
    </row>
    <row r="105" spans="1:20" s="16" customFormat="1">
      <c r="A105" s="17">
        <v>237</v>
      </c>
      <c r="B105" s="17" t="str">
        <f t="shared" si="15"/>
        <v>祖玛卫士锤微型</v>
      </c>
      <c r="C105" s="17" t="str">
        <f t="shared" si="16"/>
        <v>祖玛寺庙</v>
      </c>
      <c r="D105" s="16">
        <f t="shared" si="18"/>
        <v>18</v>
      </c>
      <c r="E105" s="16">
        <f t="shared" si="18"/>
        <v>27</v>
      </c>
      <c r="F105" s="16">
        <f t="shared" si="18"/>
        <v>0</v>
      </c>
      <c r="G105" s="16">
        <f t="shared" si="18"/>
        <v>0</v>
      </c>
      <c r="H105" s="16">
        <f t="shared" si="18"/>
        <v>0</v>
      </c>
      <c r="I105" s="16">
        <f t="shared" si="18"/>
        <v>0</v>
      </c>
      <c r="J105" s="16">
        <f t="shared" si="19"/>
        <v>15</v>
      </c>
      <c r="K105" s="16">
        <f t="shared" si="19"/>
        <v>15</v>
      </c>
      <c r="L105" s="16">
        <f t="shared" si="19"/>
        <v>15</v>
      </c>
      <c r="M105" s="16">
        <f t="shared" si="19"/>
        <v>15</v>
      </c>
      <c r="N105" s="16">
        <f>ROUND(N49*0.7,-1)</f>
        <v>350</v>
      </c>
      <c r="O105" s="16">
        <f t="shared" si="17"/>
        <v>0</v>
      </c>
      <c r="P105" s="16">
        <f t="shared" si="20"/>
        <v>15</v>
      </c>
      <c r="Q105" s="16">
        <f t="shared" si="20"/>
        <v>17</v>
      </c>
      <c r="R105" s="16">
        <f t="shared" si="20"/>
        <v>75</v>
      </c>
      <c r="S105" s="16">
        <f t="shared" si="20"/>
        <v>300</v>
      </c>
      <c r="T105" s="16">
        <f t="shared" si="20"/>
        <v>50</v>
      </c>
    </row>
    <row r="106" spans="1:20" s="16" customFormat="1">
      <c r="A106" s="17">
        <v>241</v>
      </c>
      <c r="B106" s="17" t="str">
        <f t="shared" si="15"/>
        <v>角蝇巢穴微型</v>
      </c>
      <c r="C106" s="17" t="str">
        <f t="shared" si="16"/>
        <v>祖玛寺庙</v>
      </c>
      <c r="D106" s="16">
        <f t="shared" si="18"/>
        <v>0</v>
      </c>
      <c r="E106" s="16">
        <f t="shared" si="18"/>
        <v>0</v>
      </c>
      <c r="F106" s="16">
        <f t="shared" si="18"/>
        <v>0</v>
      </c>
      <c r="G106" s="16">
        <f t="shared" si="18"/>
        <v>0</v>
      </c>
      <c r="H106" s="16">
        <f t="shared" si="18"/>
        <v>0</v>
      </c>
      <c r="I106" s="16">
        <f t="shared" si="18"/>
        <v>0</v>
      </c>
      <c r="J106" s="16">
        <f t="shared" si="19"/>
        <v>0</v>
      </c>
      <c r="K106" s="16">
        <f t="shared" si="19"/>
        <v>0</v>
      </c>
      <c r="L106" s="16">
        <f t="shared" si="19"/>
        <v>6</v>
      </c>
      <c r="M106" s="16">
        <f t="shared" si="19"/>
        <v>6</v>
      </c>
      <c r="N106" s="16">
        <f>ROUND(N50*0.7,-1)</f>
        <v>140</v>
      </c>
      <c r="O106" s="16">
        <f t="shared" si="17"/>
        <v>0</v>
      </c>
      <c r="P106" s="16">
        <f t="shared" si="20"/>
        <v>1</v>
      </c>
      <c r="Q106" s="16">
        <f t="shared" si="20"/>
        <v>1</v>
      </c>
      <c r="R106" s="16">
        <f t="shared" si="20"/>
        <v>75</v>
      </c>
      <c r="S106" s="16">
        <f t="shared" si="20"/>
        <v>300</v>
      </c>
      <c r="T106" s="16">
        <f t="shared" si="20"/>
        <v>50</v>
      </c>
    </row>
    <row r="107" spans="1:20" s="16" customFormat="1">
      <c r="A107" s="17">
        <v>239</v>
      </c>
      <c r="B107" s="17" t="str">
        <f t="shared" si="15"/>
        <v>角蝇微型</v>
      </c>
      <c r="C107" s="17" t="str">
        <f t="shared" si="16"/>
        <v>祖玛寺庙</v>
      </c>
      <c r="D107" s="16">
        <f t="shared" si="18"/>
        <v>0</v>
      </c>
      <c r="E107" s="16">
        <f t="shared" si="18"/>
        <v>18</v>
      </c>
      <c r="F107" s="16">
        <f t="shared" si="18"/>
        <v>0</v>
      </c>
      <c r="G107" s="16">
        <f t="shared" si="18"/>
        <v>0</v>
      </c>
      <c r="H107" s="16">
        <f t="shared" si="18"/>
        <v>0</v>
      </c>
      <c r="I107" s="16">
        <f t="shared" si="18"/>
        <v>0</v>
      </c>
      <c r="J107" s="16">
        <f t="shared" si="19"/>
        <v>0</v>
      </c>
      <c r="K107" s="16">
        <f t="shared" si="19"/>
        <v>0</v>
      </c>
      <c r="L107" s="16">
        <f t="shared" si="19"/>
        <v>0</v>
      </c>
      <c r="M107" s="16">
        <f t="shared" si="19"/>
        <v>0</v>
      </c>
      <c r="N107" s="16">
        <f>ROUND(N51*0.7,0)</f>
        <v>2</v>
      </c>
      <c r="O107" s="16">
        <f t="shared" si="17"/>
        <v>0</v>
      </c>
      <c r="P107" s="16">
        <f t="shared" si="20"/>
        <v>18</v>
      </c>
      <c r="Q107" s="16">
        <f t="shared" si="20"/>
        <v>5</v>
      </c>
      <c r="R107" s="16">
        <f t="shared" si="20"/>
        <v>75</v>
      </c>
      <c r="S107" s="16">
        <f t="shared" si="20"/>
        <v>300</v>
      </c>
      <c r="T107" s="16">
        <f t="shared" si="20"/>
        <v>50</v>
      </c>
    </row>
    <row r="108" spans="1:20" s="16" customFormat="1">
      <c r="A108" s="17">
        <v>240</v>
      </c>
      <c r="B108" s="17" t="str">
        <f t="shared" si="15"/>
        <v>楔蛾微型</v>
      </c>
      <c r="C108" s="17" t="str">
        <f t="shared" si="16"/>
        <v>祖玛寺庙</v>
      </c>
      <c r="D108" s="16">
        <f t="shared" si="18"/>
        <v>10</v>
      </c>
      <c r="E108" s="16">
        <f t="shared" si="18"/>
        <v>14</v>
      </c>
      <c r="F108" s="16">
        <f t="shared" si="18"/>
        <v>0</v>
      </c>
      <c r="G108" s="16">
        <f t="shared" si="18"/>
        <v>0</v>
      </c>
      <c r="H108" s="16">
        <f t="shared" si="18"/>
        <v>0</v>
      </c>
      <c r="I108" s="16">
        <f t="shared" si="18"/>
        <v>0</v>
      </c>
      <c r="J108" s="16">
        <f t="shared" si="19"/>
        <v>0</v>
      </c>
      <c r="K108" s="16">
        <f t="shared" si="19"/>
        <v>0</v>
      </c>
      <c r="L108" s="16">
        <f t="shared" si="19"/>
        <v>5</v>
      </c>
      <c r="M108" s="16">
        <f t="shared" si="19"/>
        <v>5</v>
      </c>
      <c r="N108" s="16">
        <f t="shared" ref="N108:N115" si="21">ROUND(N52*0.7,-1)</f>
        <v>150</v>
      </c>
      <c r="O108" s="16">
        <f t="shared" si="17"/>
        <v>0</v>
      </c>
      <c r="P108" s="16">
        <f t="shared" si="20"/>
        <v>15</v>
      </c>
      <c r="Q108" s="16">
        <f t="shared" si="20"/>
        <v>17</v>
      </c>
      <c r="R108" s="16">
        <f t="shared" si="20"/>
        <v>75</v>
      </c>
      <c r="S108" s="16">
        <f t="shared" si="20"/>
        <v>300</v>
      </c>
      <c r="T108" s="16">
        <f t="shared" si="20"/>
        <v>50</v>
      </c>
    </row>
    <row r="109" spans="1:20" s="16" customFormat="1">
      <c r="A109" s="17">
        <v>242</v>
      </c>
      <c r="B109" s="17" t="str">
        <f t="shared" si="15"/>
        <v>鹰卫微型</v>
      </c>
      <c r="C109" s="17" t="str">
        <f t="shared" si="16"/>
        <v>赤月峡谷</v>
      </c>
      <c r="D109" s="16">
        <f t="shared" ref="D109:I109" si="22">ROUND(D53*0.8,0)</f>
        <v>24</v>
      </c>
      <c r="E109" s="16">
        <f t="shared" si="22"/>
        <v>40</v>
      </c>
      <c r="F109" s="16">
        <f t="shared" si="22"/>
        <v>0</v>
      </c>
      <c r="G109" s="16">
        <f t="shared" si="22"/>
        <v>0</v>
      </c>
      <c r="H109" s="16">
        <f t="shared" si="22"/>
        <v>0</v>
      </c>
      <c r="I109" s="16">
        <f t="shared" si="22"/>
        <v>0</v>
      </c>
      <c r="J109" s="16">
        <f t="shared" ref="J109:M109" si="23">J53</f>
        <v>15</v>
      </c>
      <c r="K109" s="16">
        <f t="shared" si="23"/>
        <v>15</v>
      </c>
      <c r="L109" s="16">
        <f t="shared" si="23"/>
        <v>18</v>
      </c>
      <c r="M109" s="16">
        <f t="shared" si="23"/>
        <v>18</v>
      </c>
      <c r="N109" s="16">
        <f t="shared" si="21"/>
        <v>1050</v>
      </c>
      <c r="O109" s="16">
        <f t="shared" si="17"/>
        <v>0</v>
      </c>
      <c r="P109" s="16">
        <f t="shared" ref="P109:T109" si="24">P53</f>
        <v>15</v>
      </c>
      <c r="Q109" s="16">
        <f t="shared" si="24"/>
        <v>20</v>
      </c>
      <c r="R109" s="16">
        <f t="shared" si="24"/>
        <v>75</v>
      </c>
      <c r="S109" s="16">
        <f t="shared" si="24"/>
        <v>300</v>
      </c>
      <c r="T109" s="16">
        <f t="shared" si="24"/>
        <v>50</v>
      </c>
    </row>
    <row r="110" spans="1:20" s="16" customFormat="1">
      <c r="A110" s="17">
        <v>243</v>
      </c>
      <c r="B110" s="17" t="str">
        <f t="shared" si="15"/>
        <v>月魔蜘蛛微型</v>
      </c>
      <c r="C110" s="17" t="str">
        <f t="shared" si="16"/>
        <v>赤月峡谷</v>
      </c>
      <c r="D110" s="16">
        <f t="shared" ref="D110:I110" si="25">ROUND(D54*0.8,0)</f>
        <v>22</v>
      </c>
      <c r="E110" s="16">
        <f t="shared" si="25"/>
        <v>22</v>
      </c>
      <c r="F110" s="16">
        <f t="shared" si="25"/>
        <v>0</v>
      </c>
      <c r="G110" s="16">
        <f t="shared" si="25"/>
        <v>0</v>
      </c>
      <c r="H110" s="16">
        <f t="shared" si="25"/>
        <v>0</v>
      </c>
      <c r="I110" s="16">
        <f t="shared" si="25"/>
        <v>0</v>
      </c>
      <c r="J110" s="16">
        <f t="shared" ref="J110:M110" si="26">J54</f>
        <v>12</v>
      </c>
      <c r="K110" s="16">
        <f t="shared" si="26"/>
        <v>12</v>
      </c>
      <c r="L110" s="16">
        <f t="shared" si="26"/>
        <v>28</v>
      </c>
      <c r="M110" s="16">
        <f t="shared" si="26"/>
        <v>28</v>
      </c>
      <c r="N110" s="16">
        <f t="shared" si="21"/>
        <v>600</v>
      </c>
      <c r="O110" s="16">
        <f t="shared" si="17"/>
        <v>0</v>
      </c>
      <c r="P110" s="16">
        <f t="shared" ref="P110:T110" si="27">P54</f>
        <v>50</v>
      </c>
      <c r="Q110" s="16">
        <f t="shared" si="27"/>
        <v>20</v>
      </c>
      <c r="R110" s="16">
        <f t="shared" si="27"/>
        <v>75</v>
      </c>
      <c r="S110" s="16">
        <f t="shared" si="27"/>
        <v>300</v>
      </c>
      <c r="T110" s="16">
        <f t="shared" si="27"/>
        <v>50</v>
      </c>
    </row>
    <row r="111" spans="1:20" s="16" customFormat="1">
      <c r="A111" s="17">
        <v>244</v>
      </c>
      <c r="B111" s="17" t="str">
        <f t="shared" si="15"/>
        <v>天狼蜘蛛微型</v>
      </c>
      <c r="C111" s="17" t="str">
        <f t="shared" si="16"/>
        <v>赤月峡谷</v>
      </c>
      <c r="D111" s="16">
        <f t="shared" ref="D111:I111" si="28">ROUND(D55*0.8,0)</f>
        <v>18</v>
      </c>
      <c r="E111" s="16">
        <f t="shared" si="28"/>
        <v>27</v>
      </c>
      <c r="F111" s="16">
        <f t="shared" si="28"/>
        <v>0</v>
      </c>
      <c r="G111" s="16">
        <f t="shared" si="28"/>
        <v>0</v>
      </c>
      <c r="H111" s="16">
        <f t="shared" si="28"/>
        <v>0</v>
      </c>
      <c r="I111" s="16">
        <f t="shared" si="28"/>
        <v>0</v>
      </c>
      <c r="J111" s="16">
        <f t="shared" ref="J111:M111" si="29">J55</f>
        <v>8</v>
      </c>
      <c r="K111" s="16">
        <f t="shared" si="29"/>
        <v>8</v>
      </c>
      <c r="L111" s="16">
        <f t="shared" si="29"/>
        <v>20</v>
      </c>
      <c r="M111" s="16">
        <f t="shared" si="29"/>
        <v>20</v>
      </c>
      <c r="N111" s="16">
        <f t="shared" si="21"/>
        <v>350</v>
      </c>
      <c r="O111" s="16">
        <f t="shared" si="17"/>
        <v>0</v>
      </c>
      <c r="P111" s="16">
        <f t="shared" ref="P111:T111" si="30">P55</f>
        <v>15</v>
      </c>
      <c r="Q111" s="16">
        <f t="shared" si="30"/>
        <v>17</v>
      </c>
      <c r="R111" s="16">
        <f t="shared" si="30"/>
        <v>75</v>
      </c>
      <c r="S111" s="16">
        <f t="shared" si="30"/>
        <v>300</v>
      </c>
      <c r="T111" s="16">
        <f t="shared" si="30"/>
        <v>50</v>
      </c>
    </row>
    <row r="112" spans="1:20" s="16" customFormat="1">
      <c r="A112" s="17">
        <v>245</v>
      </c>
      <c r="B112" s="17" t="str">
        <f t="shared" si="15"/>
        <v>钢牙蜘蛛微型</v>
      </c>
      <c r="C112" s="17" t="str">
        <f t="shared" si="16"/>
        <v>赤月峡谷</v>
      </c>
      <c r="D112" s="16">
        <f t="shared" ref="D112:I112" si="31">ROUND(D56*0.8,0)</f>
        <v>28</v>
      </c>
      <c r="E112" s="16">
        <f t="shared" si="31"/>
        <v>40</v>
      </c>
      <c r="F112" s="16">
        <f t="shared" si="31"/>
        <v>0</v>
      </c>
      <c r="G112" s="16">
        <f t="shared" si="31"/>
        <v>0</v>
      </c>
      <c r="H112" s="16">
        <f t="shared" si="31"/>
        <v>0</v>
      </c>
      <c r="I112" s="16">
        <f t="shared" si="31"/>
        <v>0</v>
      </c>
      <c r="J112" s="16">
        <f t="shared" ref="J112:M112" si="32">J56</f>
        <v>13</v>
      </c>
      <c r="K112" s="16">
        <f t="shared" si="32"/>
        <v>13</v>
      </c>
      <c r="L112" s="16">
        <f t="shared" si="32"/>
        <v>33</v>
      </c>
      <c r="M112" s="16">
        <f t="shared" si="32"/>
        <v>33</v>
      </c>
      <c r="N112" s="16">
        <f t="shared" si="21"/>
        <v>560</v>
      </c>
      <c r="O112" s="16">
        <f t="shared" si="17"/>
        <v>0</v>
      </c>
      <c r="P112" s="16">
        <f t="shared" ref="P112:T112" si="33">P56</f>
        <v>20</v>
      </c>
      <c r="Q112" s="16">
        <f t="shared" si="33"/>
        <v>17</v>
      </c>
      <c r="R112" s="16">
        <f t="shared" si="33"/>
        <v>75</v>
      </c>
      <c r="S112" s="16">
        <f t="shared" si="33"/>
        <v>300</v>
      </c>
      <c r="T112" s="16">
        <f t="shared" si="33"/>
        <v>50</v>
      </c>
    </row>
    <row r="113" spans="1:20" s="16" customFormat="1">
      <c r="A113" s="17">
        <v>246</v>
      </c>
      <c r="B113" s="17" t="str">
        <f t="shared" si="15"/>
        <v>花吻蜘蛛微型</v>
      </c>
      <c r="C113" s="17" t="str">
        <f t="shared" si="16"/>
        <v>赤月峡谷</v>
      </c>
      <c r="D113" s="16">
        <f t="shared" ref="D113:I113" si="34">ROUND(D57*0.8,0)</f>
        <v>16</v>
      </c>
      <c r="E113" s="16">
        <f t="shared" si="34"/>
        <v>48</v>
      </c>
      <c r="F113" s="16">
        <f t="shared" si="34"/>
        <v>0</v>
      </c>
      <c r="G113" s="16">
        <f t="shared" si="34"/>
        <v>0</v>
      </c>
      <c r="H113" s="16">
        <f t="shared" si="34"/>
        <v>0</v>
      </c>
      <c r="I113" s="16">
        <f t="shared" si="34"/>
        <v>0</v>
      </c>
      <c r="J113" s="16">
        <f t="shared" ref="J113:M113" si="35">J57</f>
        <v>12</v>
      </c>
      <c r="K113" s="16">
        <f t="shared" si="35"/>
        <v>12</v>
      </c>
      <c r="L113" s="16">
        <f t="shared" si="35"/>
        <v>27</v>
      </c>
      <c r="M113" s="16">
        <f t="shared" si="35"/>
        <v>27</v>
      </c>
      <c r="N113" s="16">
        <f t="shared" si="21"/>
        <v>530</v>
      </c>
      <c r="O113" s="16">
        <f t="shared" si="17"/>
        <v>0</v>
      </c>
      <c r="P113" s="16">
        <f t="shared" ref="P113:T113" si="36">P57</f>
        <v>17</v>
      </c>
      <c r="Q113" s="16">
        <f t="shared" si="36"/>
        <v>25</v>
      </c>
      <c r="R113" s="16">
        <f t="shared" si="36"/>
        <v>75</v>
      </c>
      <c r="S113" s="16">
        <f t="shared" si="36"/>
        <v>300</v>
      </c>
      <c r="T113" s="16">
        <f t="shared" si="36"/>
        <v>50</v>
      </c>
    </row>
    <row r="114" spans="1:20" s="16" customFormat="1">
      <c r="A114" s="17">
        <v>247</v>
      </c>
      <c r="B114" s="17" t="str">
        <f t="shared" si="15"/>
        <v>黑锷蜘蛛微型</v>
      </c>
      <c r="C114" s="17" t="str">
        <f t="shared" si="16"/>
        <v>赤月峡谷</v>
      </c>
      <c r="D114" s="16">
        <f t="shared" ref="D114:I114" si="37">ROUND(D58*0.8,0)</f>
        <v>12</v>
      </c>
      <c r="E114" s="16">
        <f t="shared" si="37"/>
        <v>60</v>
      </c>
      <c r="F114" s="16">
        <f t="shared" si="37"/>
        <v>0</v>
      </c>
      <c r="G114" s="16">
        <f t="shared" si="37"/>
        <v>0</v>
      </c>
      <c r="H114" s="16">
        <f t="shared" si="37"/>
        <v>0</v>
      </c>
      <c r="I114" s="16">
        <f t="shared" si="37"/>
        <v>0</v>
      </c>
      <c r="J114" s="16">
        <f t="shared" ref="J114:M114" si="38">J58</f>
        <v>11</v>
      </c>
      <c r="K114" s="16">
        <f t="shared" si="38"/>
        <v>11</v>
      </c>
      <c r="L114" s="16">
        <f t="shared" si="38"/>
        <v>30</v>
      </c>
      <c r="M114" s="16">
        <f t="shared" si="38"/>
        <v>30</v>
      </c>
      <c r="N114" s="16">
        <f t="shared" si="21"/>
        <v>840</v>
      </c>
      <c r="O114" s="16">
        <f t="shared" si="17"/>
        <v>0</v>
      </c>
      <c r="P114" s="16">
        <f t="shared" ref="P114:T114" si="39">P58</f>
        <v>17</v>
      </c>
      <c r="Q114" s="16">
        <f t="shared" si="39"/>
        <v>17</v>
      </c>
      <c r="R114" s="16">
        <f t="shared" si="39"/>
        <v>75</v>
      </c>
      <c r="S114" s="16">
        <f t="shared" si="39"/>
        <v>300</v>
      </c>
      <c r="T114" s="16">
        <f t="shared" si="39"/>
        <v>50</v>
      </c>
    </row>
    <row r="115" spans="1:20" s="16" customFormat="1">
      <c r="A115" s="17">
        <v>248</v>
      </c>
      <c r="B115" s="17" t="str">
        <f t="shared" si="15"/>
        <v>幻影蜘蛛微型</v>
      </c>
      <c r="C115" s="17" t="str">
        <f t="shared" si="16"/>
        <v>赤月峡谷</v>
      </c>
      <c r="D115" s="16">
        <f t="shared" ref="D115:I115" si="40">ROUND(D59*0.8,0)</f>
        <v>0</v>
      </c>
      <c r="E115" s="16">
        <f t="shared" si="40"/>
        <v>0</v>
      </c>
      <c r="F115" s="16">
        <f t="shared" si="40"/>
        <v>0</v>
      </c>
      <c r="G115" s="16">
        <f t="shared" si="40"/>
        <v>0</v>
      </c>
      <c r="H115" s="16">
        <f t="shared" si="40"/>
        <v>0</v>
      </c>
      <c r="I115" s="16">
        <f t="shared" si="40"/>
        <v>0</v>
      </c>
      <c r="J115" s="16">
        <f t="shared" ref="J115:M115" si="41">J59</f>
        <v>10</v>
      </c>
      <c r="K115" s="16">
        <f t="shared" si="41"/>
        <v>10</v>
      </c>
      <c r="L115" s="16">
        <f t="shared" si="41"/>
        <v>23</v>
      </c>
      <c r="M115" s="16">
        <f t="shared" si="41"/>
        <v>23</v>
      </c>
      <c r="N115" s="16">
        <f t="shared" si="21"/>
        <v>840</v>
      </c>
      <c r="O115" s="16">
        <f t="shared" si="17"/>
        <v>0</v>
      </c>
      <c r="P115" s="16">
        <f t="shared" ref="P115:T115" si="42">P59</f>
        <v>1</v>
      </c>
      <c r="Q115" s="16">
        <f t="shared" si="42"/>
        <v>1</v>
      </c>
      <c r="R115" s="16">
        <f t="shared" si="42"/>
        <v>75</v>
      </c>
      <c r="S115" s="16">
        <f t="shared" si="42"/>
        <v>300</v>
      </c>
      <c r="T115" s="16">
        <f t="shared" si="42"/>
        <v>50</v>
      </c>
    </row>
    <row r="116" spans="1:20" s="16" customFormat="1">
      <c r="A116" s="17">
        <v>249</v>
      </c>
      <c r="B116" s="17" t="str">
        <f t="shared" si="15"/>
        <v>爆裂蜘蛛微型</v>
      </c>
      <c r="C116" s="17" t="str">
        <f t="shared" si="16"/>
        <v>赤月峡谷</v>
      </c>
      <c r="D116" s="16">
        <f t="shared" ref="D116:I116" si="43">ROUND(D60*0.8,0)</f>
        <v>16</v>
      </c>
      <c r="E116" s="16">
        <f t="shared" si="43"/>
        <v>16</v>
      </c>
      <c r="F116" s="16">
        <f t="shared" si="43"/>
        <v>0</v>
      </c>
      <c r="G116" s="16">
        <f t="shared" si="43"/>
        <v>0</v>
      </c>
      <c r="H116" s="16">
        <f t="shared" si="43"/>
        <v>0</v>
      </c>
      <c r="I116" s="16">
        <f t="shared" si="43"/>
        <v>0</v>
      </c>
      <c r="J116" s="16">
        <f t="shared" ref="J116:M116" si="44">J60</f>
        <v>0</v>
      </c>
      <c r="K116" s="16">
        <f t="shared" si="44"/>
        <v>0</v>
      </c>
      <c r="L116" s="16">
        <f t="shared" si="44"/>
        <v>0</v>
      </c>
      <c r="M116" s="16">
        <f t="shared" si="44"/>
        <v>0</v>
      </c>
      <c r="N116" s="16">
        <f>ROUND(N60*0.7,0)</f>
        <v>7</v>
      </c>
      <c r="O116" s="16">
        <f t="shared" si="17"/>
        <v>0</v>
      </c>
      <c r="P116" s="16">
        <f t="shared" ref="P116:T116" si="45">P60</f>
        <v>30</v>
      </c>
      <c r="Q116" s="16">
        <f t="shared" si="45"/>
        <v>30</v>
      </c>
      <c r="R116" s="16">
        <f t="shared" si="45"/>
        <v>75</v>
      </c>
      <c r="S116" s="16">
        <f t="shared" si="45"/>
        <v>300</v>
      </c>
      <c r="T116" s="16">
        <f t="shared" si="45"/>
        <v>50</v>
      </c>
    </row>
    <row r="117" spans="1:20" s="16" customFormat="1">
      <c r="A117" s="17">
        <v>250</v>
      </c>
      <c r="B117" s="17" t="str">
        <f t="shared" si="15"/>
        <v>血巨人微型</v>
      </c>
      <c r="C117" s="17" t="str">
        <f t="shared" si="16"/>
        <v>赤月峡谷</v>
      </c>
      <c r="D117" s="16">
        <f t="shared" ref="D117:I117" si="46">ROUND(D61*0.8,0)</f>
        <v>28</v>
      </c>
      <c r="E117" s="16">
        <f t="shared" si="46"/>
        <v>56</v>
      </c>
      <c r="F117" s="16">
        <f t="shared" si="46"/>
        <v>0</v>
      </c>
      <c r="G117" s="16">
        <f t="shared" si="46"/>
        <v>0</v>
      </c>
      <c r="H117" s="16">
        <f t="shared" si="46"/>
        <v>0</v>
      </c>
      <c r="I117" s="16">
        <f t="shared" si="46"/>
        <v>0</v>
      </c>
      <c r="J117" s="16">
        <f t="shared" ref="J117:M117" si="47">J61</f>
        <v>15</v>
      </c>
      <c r="K117" s="16">
        <f t="shared" si="47"/>
        <v>15</v>
      </c>
      <c r="L117" s="16">
        <f t="shared" si="47"/>
        <v>30</v>
      </c>
      <c r="M117" s="16">
        <f t="shared" si="47"/>
        <v>30</v>
      </c>
      <c r="N117" s="16">
        <f>ROUND(N61*0.7,-1)</f>
        <v>840</v>
      </c>
      <c r="O117" s="16">
        <f t="shared" si="17"/>
        <v>0</v>
      </c>
      <c r="P117" s="16">
        <f t="shared" ref="P117:T117" si="48">P61</f>
        <v>17</v>
      </c>
      <c r="Q117" s="16">
        <f t="shared" si="48"/>
        <v>20</v>
      </c>
      <c r="R117" s="16">
        <f t="shared" si="48"/>
        <v>75</v>
      </c>
      <c r="S117" s="16">
        <f t="shared" si="48"/>
        <v>300</v>
      </c>
      <c r="T117" s="16">
        <f t="shared" si="48"/>
        <v>50</v>
      </c>
    </row>
    <row r="118" spans="1:20" s="16" customFormat="1">
      <c r="A118" s="17">
        <v>251</v>
      </c>
      <c r="B118" s="17" t="str">
        <f t="shared" si="15"/>
        <v>血僵尸微型</v>
      </c>
      <c r="C118" s="17" t="str">
        <f t="shared" si="16"/>
        <v>赤月峡谷</v>
      </c>
      <c r="D118" s="16">
        <f t="shared" ref="D118:I119" si="49">ROUND(D62*0.8,0)</f>
        <v>28</v>
      </c>
      <c r="E118" s="16">
        <f t="shared" si="49"/>
        <v>40</v>
      </c>
      <c r="F118" s="16">
        <f t="shared" si="49"/>
        <v>0</v>
      </c>
      <c r="G118" s="16">
        <f t="shared" si="49"/>
        <v>0</v>
      </c>
      <c r="H118" s="16">
        <f t="shared" si="49"/>
        <v>0</v>
      </c>
      <c r="I118" s="16">
        <f t="shared" si="49"/>
        <v>0</v>
      </c>
      <c r="J118" s="16">
        <f t="shared" ref="J118:M119" si="50">J62</f>
        <v>18</v>
      </c>
      <c r="K118" s="16">
        <f t="shared" si="50"/>
        <v>18</v>
      </c>
      <c r="L118" s="16">
        <f t="shared" si="50"/>
        <v>30</v>
      </c>
      <c r="M118" s="16">
        <f t="shared" si="50"/>
        <v>30</v>
      </c>
      <c r="N118" s="16">
        <f>ROUND(N62*0.7,-1)</f>
        <v>840</v>
      </c>
      <c r="O118" s="16">
        <f t="shared" si="17"/>
        <v>0</v>
      </c>
      <c r="P118" s="16">
        <f t="shared" ref="P118:T119" si="51">P62</f>
        <v>25</v>
      </c>
      <c r="Q118" s="16">
        <f t="shared" si="51"/>
        <v>10</v>
      </c>
      <c r="R118" s="16">
        <f t="shared" si="51"/>
        <v>75</v>
      </c>
      <c r="S118" s="16">
        <f t="shared" si="51"/>
        <v>300</v>
      </c>
      <c r="T118" s="16">
        <f t="shared" si="51"/>
        <v>50</v>
      </c>
    </row>
    <row r="119" spans="1:20" s="16" customFormat="1">
      <c r="A119" s="17">
        <v>252</v>
      </c>
      <c r="B119" s="17" t="str">
        <f t="shared" si="15"/>
        <v>暴牙蜘蛛微型</v>
      </c>
      <c r="C119" s="17" t="str">
        <f t="shared" si="16"/>
        <v>赤月峡谷</v>
      </c>
      <c r="D119" s="16">
        <f t="shared" si="49"/>
        <v>18</v>
      </c>
      <c r="E119" s="16">
        <f t="shared" si="49"/>
        <v>27</v>
      </c>
      <c r="F119" s="16">
        <f t="shared" si="49"/>
        <v>0</v>
      </c>
      <c r="G119" s="16">
        <f t="shared" si="49"/>
        <v>0</v>
      </c>
      <c r="H119" s="16">
        <f t="shared" si="49"/>
        <v>0</v>
      </c>
      <c r="I119" s="16">
        <f t="shared" si="49"/>
        <v>0</v>
      </c>
      <c r="J119" s="16">
        <f t="shared" si="50"/>
        <v>12</v>
      </c>
      <c r="K119" s="16">
        <f t="shared" si="50"/>
        <v>12</v>
      </c>
      <c r="L119" s="16">
        <f t="shared" si="50"/>
        <v>30</v>
      </c>
      <c r="M119" s="16">
        <f t="shared" si="50"/>
        <v>30</v>
      </c>
      <c r="N119" s="16">
        <f>ROUND(N63*0.7,-1)</f>
        <v>350</v>
      </c>
      <c r="O119" s="16">
        <f t="shared" si="17"/>
        <v>0</v>
      </c>
      <c r="P119" s="16">
        <f t="shared" si="51"/>
        <v>17</v>
      </c>
      <c r="Q119" s="16">
        <f t="shared" si="51"/>
        <v>17</v>
      </c>
      <c r="R119" s="16">
        <f t="shared" si="51"/>
        <v>75</v>
      </c>
      <c r="S119" s="16">
        <f t="shared" si="51"/>
        <v>300</v>
      </c>
      <c r="T119" s="16">
        <f t="shared" si="51"/>
        <v>50</v>
      </c>
    </row>
    <row r="120" spans="1:20">
      <c r="A120" s="1">
        <v>301</v>
      </c>
      <c r="B120" s="1" t="str">
        <f t="shared" ref="B120:B151" si="52">B8&amp;"头目"</f>
        <v>稻草人头目</v>
      </c>
      <c r="C120" s="1" t="str">
        <f t="shared" ref="C120:C151" si="53">C8</f>
        <v>边界村</v>
      </c>
      <c r="D120">
        <f t="shared" ref="D120:E139" si="54">ROUND(D8*1.2,0)</f>
        <v>1</v>
      </c>
      <c r="E120">
        <f t="shared" si="54"/>
        <v>2</v>
      </c>
      <c r="F120">
        <f t="shared" ref="F120:I139" si="55">ROUND(F8*1.5,0)</f>
        <v>0</v>
      </c>
      <c r="G120">
        <f t="shared" si="55"/>
        <v>0</v>
      </c>
      <c r="H120">
        <f t="shared" si="55"/>
        <v>0</v>
      </c>
      <c r="I120">
        <f t="shared" si="55"/>
        <v>0</v>
      </c>
      <c r="J120">
        <f t="shared" ref="J120:M139" si="56">J8</f>
        <v>0</v>
      </c>
      <c r="K120">
        <f t="shared" si="56"/>
        <v>0</v>
      </c>
      <c r="L120">
        <f t="shared" si="56"/>
        <v>0</v>
      </c>
      <c r="M120">
        <f t="shared" si="56"/>
        <v>0</v>
      </c>
      <c r="N120">
        <f t="shared" ref="N120:N143" si="57">ROUND(N8*1.6,0)</f>
        <v>24</v>
      </c>
      <c r="O120">
        <f t="shared" ref="O120:T129" si="58">O8</f>
        <v>0</v>
      </c>
      <c r="P120">
        <f t="shared" si="58"/>
        <v>5</v>
      </c>
      <c r="Q120">
        <f t="shared" si="58"/>
        <v>10</v>
      </c>
      <c r="R120">
        <f t="shared" si="58"/>
        <v>75</v>
      </c>
      <c r="S120">
        <f t="shared" si="58"/>
        <v>300</v>
      </c>
      <c r="T120">
        <f t="shared" si="58"/>
        <v>50</v>
      </c>
    </row>
    <row r="121" spans="1:20">
      <c r="A121" s="1">
        <v>302</v>
      </c>
      <c r="B121" s="1" t="str">
        <f t="shared" si="52"/>
        <v>钉耙猫头目</v>
      </c>
      <c r="C121" s="1" t="str">
        <f t="shared" si="53"/>
        <v>边界村</v>
      </c>
      <c r="D121">
        <f t="shared" si="54"/>
        <v>2</v>
      </c>
      <c r="E121">
        <f t="shared" si="54"/>
        <v>5</v>
      </c>
      <c r="F121">
        <f t="shared" si="55"/>
        <v>0</v>
      </c>
      <c r="G121">
        <f t="shared" si="55"/>
        <v>0</v>
      </c>
      <c r="H121">
        <f t="shared" si="55"/>
        <v>0</v>
      </c>
      <c r="I121">
        <f t="shared" si="55"/>
        <v>0</v>
      </c>
      <c r="J121">
        <f t="shared" si="56"/>
        <v>0</v>
      </c>
      <c r="K121">
        <f t="shared" si="56"/>
        <v>0</v>
      </c>
      <c r="L121">
        <f t="shared" si="56"/>
        <v>0</v>
      </c>
      <c r="M121">
        <f t="shared" si="56"/>
        <v>0</v>
      </c>
      <c r="N121">
        <f t="shared" si="57"/>
        <v>37</v>
      </c>
      <c r="O121">
        <f t="shared" si="58"/>
        <v>0</v>
      </c>
      <c r="P121">
        <f t="shared" si="58"/>
        <v>5</v>
      </c>
      <c r="Q121">
        <f t="shared" si="58"/>
        <v>10</v>
      </c>
      <c r="R121">
        <f t="shared" si="58"/>
        <v>75</v>
      </c>
      <c r="S121">
        <f t="shared" si="58"/>
        <v>300</v>
      </c>
      <c r="T121">
        <f t="shared" si="58"/>
        <v>50</v>
      </c>
    </row>
    <row r="122" spans="1:20">
      <c r="A122" s="1">
        <v>303</v>
      </c>
      <c r="B122" s="1" t="str">
        <f t="shared" si="52"/>
        <v>半兽人_BJC头目</v>
      </c>
      <c r="C122" s="1" t="str">
        <f t="shared" si="53"/>
        <v>边界村</v>
      </c>
      <c r="D122">
        <f t="shared" si="54"/>
        <v>4</v>
      </c>
      <c r="E122">
        <f t="shared" si="54"/>
        <v>8</v>
      </c>
      <c r="F122">
        <f t="shared" si="55"/>
        <v>0</v>
      </c>
      <c r="G122">
        <f t="shared" si="55"/>
        <v>0</v>
      </c>
      <c r="H122">
        <f t="shared" si="55"/>
        <v>0</v>
      </c>
      <c r="I122">
        <f t="shared" si="55"/>
        <v>0</v>
      </c>
      <c r="J122">
        <f t="shared" si="56"/>
        <v>1</v>
      </c>
      <c r="K122">
        <f t="shared" si="56"/>
        <v>1</v>
      </c>
      <c r="L122">
        <f t="shared" si="56"/>
        <v>0</v>
      </c>
      <c r="M122">
        <f t="shared" si="56"/>
        <v>0</v>
      </c>
      <c r="N122">
        <f t="shared" si="57"/>
        <v>48</v>
      </c>
      <c r="O122">
        <f t="shared" si="58"/>
        <v>0</v>
      </c>
      <c r="P122">
        <f t="shared" si="58"/>
        <v>6</v>
      </c>
      <c r="Q122">
        <f t="shared" si="58"/>
        <v>11</v>
      </c>
      <c r="R122">
        <f t="shared" si="58"/>
        <v>75</v>
      </c>
      <c r="S122">
        <f t="shared" si="58"/>
        <v>300</v>
      </c>
      <c r="T122">
        <f t="shared" si="58"/>
        <v>50</v>
      </c>
    </row>
    <row r="123" spans="1:20">
      <c r="A123" s="1">
        <v>304</v>
      </c>
      <c r="B123" s="1" t="str">
        <f t="shared" si="52"/>
        <v>半兽人战士头目</v>
      </c>
      <c r="C123" s="1" t="str">
        <f t="shared" si="53"/>
        <v>比奇省</v>
      </c>
      <c r="D123">
        <f t="shared" si="54"/>
        <v>6</v>
      </c>
      <c r="E123">
        <f t="shared" si="54"/>
        <v>14</v>
      </c>
      <c r="F123">
        <f t="shared" si="55"/>
        <v>0</v>
      </c>
      <c r="G123">
        <f t="shared" si="55"/>
        <v>0</v>
      </c>
      <c r="H123">
        <f t="shared" si="55"/>
        <v>0</v>
      </c>
      <c r="I123">
        <f t="shared" si="55"/>
        <v>0</v>
      </c>
      <c r="J123">
        <f t="shared" si="56"/>
        <v>3</v>
      </c>
      <c r="K123">
        <f t="shared" si="56"/>
        <v>3</v>
      </c>
      <c r="L123">
        <f t="shared" si="56"/>
        <v>1</v>
      </c>
      <c r="M123">
        <f t="shared" si="56"/>
        <v>1</v>
      </c>
      <c r="N123">
        <f t="shared" si="57"/>
        <v>160</v>
      </c>
      <c r="O123">
        <f t="shared" si="58"/>
        <v>0</v>
      </c>
      <c r="P123">
        <f t="shared" si="58"/>
        <v>10</v>
      </c>
      <c r="Q123">
        <f t="shared" si="58"/>
        <v>15</v>
      </c>
      <c r="R123">
        <f t="shared" si="58"/>
        <v>75</v>
      </c>
      <c r="S123">
        <f t="shared" si="58"/>
        <v>300</v>
      </c>
      <c r="T123">
        <f t="shared" si="58"/>
        <v>50</v>
      </c>
    </row>
    <row r="124" spans="1:20">
      <c r="A124" s="6">
        <v>3041</v>
      </c>
      <c r="B124" s="1" t="str">
        <f t="shared" si="52"/>
        <v>半兽人战士_BJC头目</v>
      </c>
      <c r="C124" s="1" t="str">
        <f t="shared" si="53"/>
        <v>边界村</v>
      </c>
      <c r="D124">
        <f t="shared" si="54"/>
        <v>5</v>
      </c>
      <c r="E124">
        <f t="shared" si="54"/>
        <v>11</v>
      </c>
      <c r="F124">
        <f t="shared" si="55"/>
        <v>0</v>
      </c>
      <c r="G124">
        <f t="shared" si="55"/>
        <v>0</v>
      </c>
      <c r="H124">
        <f t="shared" si="55"/>
        <v>0</v>
      </c>
      <c r="I124">
        <f t="shared" si="55"/>
        <v>0</v>
      </c>
      <c r="J124">
        <f t="shared" si="56"/>
        <v>1</v>
      </c>
      <c r="K124">
        <f t="shared" si="56"/>
        <v>1</v>
      </c>
      <c r="L124">
        <f t="shared" si="56"/>
        <v>0</v>
      </c>
      <c r="M124">
        <f t="shared" si="56"/>
        <v>0</v>
      </c>
      <c r="N124">
        <f t="shared" si="57"/>
        <v>56</v>
      </c>
      <c r="O124">
        <f t="shared" si="58"/>
        <v>0</v>
      </c>
      <c r="P124">
        <f t="shared" si="58"/>
        <v>10</v>
      </c>
      <c r="Q124">
        <f t="shared" si="58"/>
        <v>12</v>
      </c>
      <c r="R124">
        <f t="shared" si="58"/>
        <v>75</v>
      </c>
      <c r="S124">
        <f t="shared" si="58"/>
        <v>300</v>
      </c>
      <c r="T124">
        <f t="shared" si="58"/>
        <v>50</v>
      </c>
    </row>
    <row r="125" spans="1:20">
      <c r="A125" s="6">
        <v>3042</v>
      </c>
      <c r="B125" s="1" t="str">
        <f t="shared" si="52"/>
        <v>半兽人战士_BQS头目</v>
      </c>
      <c r="C125" s="1" t="str">
        <f t="shared" si="53"/>
        <v>比奇省</v>
      </c>
      <c r="D125">
        <f t="shared" si="54"/>
        <v>6</v>
      </c>
      <c r="E125">
        <f t="shared" si="54"/>
        <v>13</v>
      </c>
      <c r="F125">
        <f t="shared" si="55"/>
        <v>0</v>
      </c>
      <c r="G125">
        <f t="shared" si="55"/>
        <v>0</v>
      </c>
      <c r="H125">
        <f t="shared" si="55"/>
        <v>0</v>
      </c>
      <c r="I125">
        <f t="shared" si="55"/>
        <v>0</v>
      </c>
      <c r="J125">
        <f t="shared" si="56"/>
        <v>1</v>
      </c>
      <c r="K125">
        <f t="shared" si="56"/>
        <v>1</v>
      </c>
      <c r="L125">
        <f t="shared" si="56"/>
        <v>0</v>
      </c>
      <c r="M125">
        <f t="shared" si="56"/>
        <v>0</v>
      </c>
      <c r="N125">
        <f t="shared" si="57"/>
        <v>72</v>
      </c>
      <c r="O125">
        <f t="shared" si="58"/>
        <v>0</v>
      </c>
      <c r="P125">
        <f t="shared" si="58"/>
        <v>10</v>
      </c>
      <c r="Q125">
        <f t="shared" si="58"/>
        <v>12</v>
      </c>
      <c r="R125">
        <f t="shared" si="58"/>
        <v>75</v>
      </c>
      <c r="S125">
        <f t="shared" si="58"/>
        <v>300</v>
      </c>
      <c r="T125">
        <f t="shared" si="58"/>
        <v>50</v>
      </c>
    </row>
    <row r="126" spans="1:20">
      <c r="A126" s="1">
        <v>305</v>
      </c>
      <c r="B126" s="1" t="str">
        <f t="shared" si="52"/>
        <v>半兽人勇士头目</v>
      </c>
      <c r="C126" s="1" t="str">
        <f t="shared" si="53"/>
        <v>比奇省</v>
      </c>
      <c r="D126">
        <f t="shared" si="54"/>
        <v>18</v>
      </c>
      <c r="E126">
        <f t="shared" si="54"/>
        <v>38</v>
      </c>
      <c r="F126">
        <f t="shared" si="55"/>
        <v>0</v>
      </c>
      <c r="G126">
        <f t="shared" si="55"/>
        <v>0</v>
      </c>
      <c r="H126">
        <f t="shared" si="55"/>
        <v>0</v>
      </c>
      <c r="I126">
        <f t="shared" si="55"/>
        <v>0</v>
      </c>
      <c r="J126">
        <f t="shared" si="56"/>
        <v>0</v>
      </c>
      <c r="K126">
        <f t="shared" si="56"/>
        <v>0</v>
      </c>
      <c r="L126">
        <f t="shared" si="56"/>
        <v>0</v>
      </c>
      <c r="M126">
        <f t="shared" si="56"/>
        <v>0</v>
      </c>
      <c r="N126">
        <f t="shared" si="57"/>
        <v>480</v>
      </c>
      <c r="O126">
        <f t="shared" si="58"/>
        <v>0</v>
      </c>
      <c r="P126">
        <f t="shared" si="58"/>
        <v>13</v>
      </c>
      <c r="Q126">
        <f t="shared" si="58"/>
        <v>15</v>
      </c>
      <c r="R126">
        <f t="shared" si="58"/>
        <v>75</v>
      </c>
      <c r="S126">
        <f t="shared" si="58"/>
        <v>300</v>
      </c>
      <c r="T126">
        <f t="shared" si="58"/>
        <v>50</v>
      </c>
    </row>
    <row r="127" spans="1:20">
      <c r="A127" s="6">
        <v>3051</v>
      </c>
      <c r="B127" s="1" t="str">
        <f t="shared" si="52"/>
        <v>半兽人勇士_BJC头目</v>
      </c>
      <c r="C127" s="1" t="str">
        <f t="shared" si="53"/>
        <v>边界村</v>
      </c>
      <c r="D127">
        <f t="shared" si="54"/>
        <v>7</v>
      </c>
      <c r="E127">
        <f t="shared" si="54"/>
        <v>16</v>
      </c>
      <c r="F127">
        <f t="shared" si="55"/>
        <v>0</v>
      </c>
      <c r="G127">
        <f t="shared" si="55"/>
        <v>0</v>
      </c>
      <c r="H127">
        <f t="shared" si="55"/>
        <v>0</v>
      </c>
      <c r="I127">
        <f t="shared" si="55"/>
        <v>0</v>
      </c>
      <c r="J127">
        <f t="shared" si="56"/>
        <v>2</v>
      </c>
      <c r="K127">
        <f t="shared" si="56"/>
        <v>2</v>
      </c>
      <c r="L127">
        <f t="shared" si="56"/>
        <v>1</v>
      </c>
      <c r="M127">
        <f t="shared" si="56"/>
        <v>1</v>
      </c>
      <c r="N127">
        <f t="shared" si="57"/>
        <v>104</v>
      </c>
      <c r="O127">
        <f t="shared" si="58"/>
        <v>0</v>
      </c>
      <c r="P127">
        <f t="shared" si="58"/>
        <v>13</v>
      </c>
      <c r="Q127">
        <f t="shared" si="58"/>
        <v>13</v>
      </c>
      <c r="R127">
        <f t="shared" si="58"/>
        <v>75</v>
      </c>
      <c r="S127">
        <f t="shared" si="58"/>
        <v>300</v>
      </c>
      <c r="T127">
        <f t="shared" si="58"/>
        <v>50</v>
      </c>
    </row>
    <row r="128" spans="1:20">
      <c r="A128" s="6">
        <v>3052</v>
      </c>
      <c r="B128" s="1" t="str">
        <f t="shared" si="52"/>
        <v>半兽人勇士_BQS头目</v>
      </c>
      <c r="C128" s="1" t="str">
        <f t="shared" si="53"/>
        <v>比奇省</v>
      </c>
      <c r="D128">
        <f t="shared" si="54"/>
        <v>7</v>
      </c>
      <c r="E128">
        <f t="shared" si="54"/>
        <v>16</v>
      </c>
      <c r="F128">
        <f t="shared" si="55"/>
        <v>0</v>
      </c>
      <c r="G128">
        <f t="shared" si="55"/>
        <v>0</v>
      </c>
      <c r="H128">
        <f t="shared" si="55"/>
        <v>0</v>
      </c>
      <c r="I128">
        <f t="shared" si="55"/>
        <v>0</v>
      </c>
      <c r="J128">
        <f t="shared" si="56"/>
        <v>2</v>
      </c>
      <c r="K128">
        <f t="shared" si="56"/>
        <v>2</v>
      </c>
      <c r="L128">
        <f t="shared" si="56"/>
        <v>1</v>
      </c>
      <c r="M128">
        <f t="shared" si="56"/>
        <v>1</v>
      </c>
      <c r="N128">
        <f t="shared" si="57"/>
        <v>104</v>
      </c>
      <c r="O128">
        <f t="shared" si="58"/>
        <v>0</v>
      </c>
      <c r="P128">
        <f t="shared" si="58"/>
        <v>13</v>
      </c>
      <c r="Q128">
        <f t="shared" si="58"/>
        <v>13</v>
      </c>
      <c r="R128">
        <f t="shared" si="58"/>
        <v>75</v>
      </c>
      <c r="S128">
        <f t="shared" si="58"/>
        <v>300</v>
      </c>
      <c r="T128">
        <f t="shared" si="58"/>
        <v>50</v>
      </c>
    </row>
    <row r="129" spans="1:20">
      <c r="A129" s="1">
        <v>306</v>
      </c>
      <c r="B129" s="1" t="str">
        <f t="shared" si="52"/>
        <v>鹿头目</v>
      </c>
      <c r="C129" s="1" t="str">
        <f t="shared" si="53"/>
        <v>边界村</v>
      </c>
      <c r="D129">
        <f t="shared" si="54"/>
        <v>2</v>
      </c>
      <c r="E129">
        <f t="shared" si="54"/>
        <v>5</v>
      </c>
      <c r="F129">
        <f t="shared" si="55"/>
        <v>0</v>
      </c>
      <c r="G129">
        <f t="shared" si="55"/>
        <v>0</v>
      </c>
      <c r="H129">
        <f t="shared" si="55"/>
        <v>0</v>
      </c>
      <c r="I129">
        <f t="shared" si="55"/>
        <v>0</v>
      </c>
      <c r="J129">
        <f t="shared" si="56"/>
        <v>0</v>
      </c>
      <c r="K129">
        <f t="shared" si="56"/>
        <v>0</v>
      </c>
      <c r="L129">
        <f t="shared" si="56"/>
        <v>0</v>
      </c>
      <c r="M129">
        <f t="shared" si="56"/>
        <v>0</v>
      </c>
      <c r="N129">
        <f t="shared" si="57"/>
        <v>24</v>
      </c>
      <c r="O129">
        <f t="shared" si="58"/>
        <v>0</v>
      </c>
      <c r="P129">
        <f t="shared" si="58"/>
        <v>12</v>
      </c>
      <c r="Q129">
        <f t="shared" si="58"/>
        <v>4</v>
      </c>
      <c r="R129">
        <f t="shared" si="58"/>
        <v>75</v>
      </c>
      <c r="S129">
        <f t="shared" si="58"/>
        <v>300</v>
      </c>
      <c r="T129">
        <f t="shared" si="58"/>
        <v>50</v>
      </c>
    </row>
    <row r="130" spans="1:20">
      <c r="A130" s="1">
        <v>307</v>
      </c>
      <c r="B130" s="1" t="str">
        <f t="shared" si="52"/>
        <v>残肢僵尸头目</v>
      </c>
      <c r="C130" s="1" t="str">
        <f t="shared" si="53"/>
        <v>比奇矿区</v>
      </c>
      <c r="D130">
        <f t="shared" si="54"/>
        <v>6</v>
      </c>
      <c r="E130">
        <f t="shared" si="54"/>
        <v>14</v>
      </c>
      <c r="F130">
        <f t="shared" si="55"/>
        <v>0</v>
      </c>
      <c r="G130">
        <f t="shared" si="55"/>
        <v>0</v>
      </c>
      <c r="H130">
        <f t="shared" si="55"/>
        <v>0</v>
      </c>
      <c r="I130">
        <f t="shared" si="55"/>
        <v>0</v>
      </c>
      <c r="J130">
        <f t="shared" si="56"/>
        <v>2</v>
      </c>
      <c r="K130">
        <f t="shared" si="56"/>
        <v>2</v>
      </c>
      <c r="L130">
        <f t="shared" si="56"/>
        <v>1</v>
      </c>
      <c r="M130">
        <f t="shared" si="56"/>
        <v>1</v>
      </c>
      <c r="N130">
        <f t="shared" si="57"/>
        <v>248</v>
      </c>
      <c r="O130">
        <f t="shared" ref="O130:T139" si="59">O18</f>
        <v>0</v>
      </c>
      <c r="P130">
        <f t="shared" si="59"/>
        <v>12</v>
      </c>
      <c r="Q130">
        <f t="shared" si="59"/>
        <v>15</v>
      </c>
      <c r="R130">
        <f t="shared" si="59"/>
        <v>75</v>
      </c>
      <c r="S130">
        <f t="shared" si="59"/>
        <v>300</v>
      </c>
      <c r="T130">
        <f t="shared" si="59"/>
        <v>50</v>
      </c>
    </row>
    <row r="131" spans="1:20">
      <c r="A131" s="1">
        <v>308</v>
      </c>
      <c r="B131" s="1" t="str">
        <f t="shared" si="52"/>
        <v>直立僵尸头目</v>
      </c>
      <c r="C131" s="1" t="str">
        <f t="shared" si="53"/>
        <v>比奇矿区</v>
      </c>
      <c r="D131">
        <f t="shared" si="54"/>
        <v>6</v>
      </c>
      <c r="E131">
        <f t="shared" si="54"/>
        <v>18</v>
      </c>
      <c r="F131">
        <f t="shared" si="55"/>
        <v>0</v>
      </c>
      <c r="G131">
        <f t="shared" si="55"/>
        <v>0</v>
      </c>
      <c r="H131">
        <f t="shared" si="55"/>
        <v>0</v>
      </c>
      <c r="I131">
        <f t="shared" si="55"/>
        <v>0</v>
      </c>
      <c r="J131">
        <f t="shared" si="56"/>
        <v>2</v>
      </c>
      <c r="K131">
        <f t="shared" si="56"/>
        <v>2</v>
      </c>
      <c r="L131">
        <f t="shared" si="56"/>
        <v>1</v>
      </c>
      <c r="M131">
        <f t="shared" si="56"/>
        <v>1</v>
      </c>
      <c r="N131">
        <f t="shared" si="57"/>
        <v>248</v>
      </c>
      <c r="O131">
        <f t="shared" si="59"/>
        <v>0</v>
      </c>
      <c r="P131">
        <f t="shared" si="59"/>
        <v>12</v>
      </c>
      <c r="Q131">
        <f t="shared" si="59"/>
        <v>15</v>
      </c>
      <c r="R131">
        <f t="shared" si="59"/>
        <v>75</v>
      </c>
      <c r="S131">
        <f t="shared" si="59"/>
        <v>300</v>
      </c>
      <c r="T131">
        <f t="shared" si="59"/>
        <v>50</v>
      </c>
    </row>
    <row r="132" spans="1:20">
      <c r="A132" s="1">
        <v>309</v>
      </c>
      <c r="B132" s="1" t="str">
        <f t="shared" si="52"/>
        <v>和尚僵尸头目</v>
      </c>
      <c r="C132" s="1" t="str">
        <f t="shared" si="53"/>
        <v>比奇矿区</v>
      </c>
      <c r="D132">
        <f t="shared" si="54"/>
        <v>10</v>
      </c>
      <c r="E132">
        <f t="shared" si="54"/>
        <v>18</v>
      </c>
      <c r="F132">
        <f t="shared" si="55"/>
        <v>0</v>
      </c>
      <c r="G132">
        <f t="shared" si="55"/>
        <v>0</v>
      </c>
      <c r="H132">
        <f t="shared" si="55"/>
        <v>0</v>
      </c>
      <c r="I132">
        <f t="shared" si="55"/>
        <v>0</v>
      </c>
      <c r="J132">
        <f t="shared" si="56"/>
        <v>2</v>
      </c>
      <c r="K132">
        <f t="shared" si="56"/>
        <v>2</v>
      </c>
      <c r="L132">
        <f t="shared" si="56"/>
        <v>1</v>
      </c>
      <c r="M132">
        <f t="shared" si="56"/>
        <v>1</v>
      </c>
      <c r="N132">
        <f t="shared" si="57"/>
        <v>248</v>
      </c>
      <c r="O132">
        <f t="shared" si="59"/>
        <v>0</v>
      </c>
      <c r="P132">
        <f t="shared" si="59"/>
        <v>12</v>
      </c>
      <c r="Q132">
        <f t="shared" si="59"/>
        <v>15</v>
      </c>
      <c r="R132">
        <f t="shared" si="59"/>
        <v>75</v>
      </c>
      <c r="S132">
        <f t="shared" si="59"/>
        <v>300</v>
      </c>
      <c r="T132">
        <f t="shared" si="59"/>
        <v>50</v>
      </c>
    </row>
    <row r="133" spans="1:20">
      <c r="A133" s="1">
        <v>310</v>
      </c>
      <c r="B133" s="1" t="str">
        <f t="shared" si="52"/>
        <v>道士僵尸头目</v>
      </c>
      <c r="C133" s="1" t="str">
        <f t="shared" si="53"/>
        <v>比奇矿区</v>
      </c>
      <c r="D133">
        <f t="shared" si="54"/>
        <v>10</v>
      </c>
      <c r="E133">
        <f t="shared" si="54"/>
        <v>20</v>
      </c>
      <c r="F133">
        <f t="shared" si="55"/>
        <v>0</v>
      </c>
      <c r="G133">
        <f t="shared" si="55"/>
        <v>0</v>
      </c>
      <c r="H133">
        <f t="shared" si="55"/>
        <v>0</v>
      </c>
      <c r="I133">
        <f t="shared" si="55"/>
        <v>0</v>
      </c>
      <c r="J133">
        <f t="shared" si="56"/>
        <v>2</v>
      </c>
      <c r="K133">
        <f t="shared" si="56"/>
        <v>2</v>
      </c>
      <c r="L133">
        <f t="shared" si="56"/>
        <v>2</v>
      </c>
      <c r="M133">
        <f t="shared" si="56"/>
        <v>2</v>
      </c>
      <c r="N133">
        <f t="shared" si="57"/>
        <v>248</v>
      </c>
      <c r="O133">
        <f t="shared" si="59"/>
        <v>0</v>
      </c>
      <c r="P133">
        <f t="shared" si="59"/>
        <v>12</v>
      </c>
      <c r="Q133">
        <f t="shared" si="59"/>
        <v>15</v>
      </c>
      <c r="R133">
        <f t="shared" si="59"/>
        <v>75</v>
      </c>
      <c r="S133">
        <f t="shared" si="59"/>
        <v>300</v>
      </c>
      <c r="T133">
        <f t="shared" si="59"/>
        <v>50</v>
      </c>
    </row>
    <row r="134" spans="1:20">
      <c r="A134" s="1">
        <v>311</v>
      </c>
      <c r="B134" s="1" t="str">
        <f t="shared" si="52"/>
        <v>矿区小蝙蝠头目</v>
      </c>
      <c r="C134" s="1" t="str">
        <f t="shared" si="53"/>
        <v>比奇矿区</v>
      </c>
      <c r="D134">
        <f t="shared" si="54"/>
        <v>5</v>
      </c>
      <c r="E134">
        <f t="shared" si="54"/>
        <v>7</v>
      </c>
      <c r="F134">
        <f t="shared" si="55"/>
        <v>0</v>
      </c>
      <c r="G134">
        <f t="shared" si="55"/>
        <v>0</v>
      </c>
      <c r="H134">
        <f t="shared" si="55"/>
        <v>0</v>
      </c>
      <c r="I134">
        <f t="shared" si="55"/>
        <v>0</v>
      </c>
      <c r="J134">
        <f t="shared" si="56"/>
        <v>2</v>
      </c>
      <c r="K134">
        <f t="shared" si="56"/>
        <v>2</v>
      </c>
      <c r="L134">
        <f t="shared" si="56"/>
        <v>0</v>
      </c>
      <c r="M134">
        <f t="shared" si="56"/>
        <v>0</v>
      </c>
      <c r="N134">
        <f t="shared" si="57"/>
        <v>40</v>
      </c>
      <c r="O134">
        <f t="shared" si="59"/>
        <v>0</v>
      </c>
      <c r="P134">
        <f t="shared" si="59"/>
        <v>11</v>
      </c>
      <c r="Q134">
        <f t="shared" si="59"/>
        <v>25</v>
      </c>
      <c r="R134">
        <f t="shared" si="59"/>
        <v>75</v>
      </c>
      <c r="S134">
        <f t="shared" si="59"/>
        <v>300</v>
      </c>
      <c r="T134">
        <f t="shared" si="59"/>
        <v>50</v>
      </c>
    </row>
    <row r="135" spans="1:20">
      <c r="A135" s="1">
        <v>312</v>
      </c>
      <c r="B135" s="1" t="str">
        <f t="shared" si="52"/>
        <v>暗黑战士头目</v>
      </c>
      <c r="C135" s="1" t="str">
        <f t="shared" si="53"/>
        <v>沃玛寺庙</v>
      </c>
      <c r="D135">
        <f t="shared" si="54"/>
        <v>11</v>
      </c>
      <c r="E135">
        <f t="shared" si="54"/>
        <v>19</v>
      </c>
      <c r="F135">
        <f t="shared" si="55"/>
        <v>0</v>
      </c>
      <c r="G135">
        <f t="shared" si="55"/>
        <v>0</v>
      </c>
      <c r="H135">
        <f t="shared" si="55"/>
        <v>0</v>
      </c>
      <c r="I135">
        <f t="shared" si="55"/>
        <v>0</v>
      </c>
      <c r="J135">
        <f t="shared" si="56"/>
        <v>3</v>
      </c>
      <c r="K135">
        <f t="shared" si="56"/>
        <v>3</v>
      </c>
      <c r="L135">
        <f t="shared" si="56"/>
        <v>2</v>
      </c>
      <c r="M135">
        <f t="shared" si="56"/>
        <v>2</v>
      </c>
      <c r="N135">
        <f t="shared" si="57"/>
        <v>264</v>
      </c>
      <c r="O135">
        <f t="shared" si="59"/>
        <v>0</v>
      </c>
      <c r="P135">
        <f t="shared" si="59"/>
        <v>15</v>
      </c>
      <c r="Q135">
        <f t="shared" si="59"/>
        <v>15</v>
      </c>
      <c r="R135">
        <f t="shared" si="59"/>
        <v>75</v>
      </c>
      <c r="S135">
        <f t="shared" si="59"/>
        <v>300</v>
      </c>
      <c r="T135">
        <f t="shared" si="59"/>
        <v>50</v>
      </c>
    </row>
    <row r="136" spans="1:20">
      <c r="A136" s="1">
        <v>313</v>
      </c>
      <c r="B136" s="1" t="str">
        <f t="shared" si="52"/>
        <v>沃玛战士头目</v>
      </c>
      <c r="C136" s="1" t="str">
        <f t="shared" si="53"/>
        <v>沃玛寺庙</v>
      </c>
      <c r="D136">
        <f t="shared" si="54"/>
        <v>17</v>
      </c>
      <c r="E136">
        <f t="shared" si="54"/>
        <v>34</v>
      </c>
      <c r="F136">
        <f t="shared" si="55"/>
        <v>0</v>
      </c>
      <c r="G136">
        <f t="shared" si="55"/>
        <v>0</v>
      </c>
      <c r="H136">
        <f t="shared" si="55"/>
        <v>0</v>
      </c>
      <c r="I136">
        <f t="shared" si="55"/>
        <v>0</v>
      </c>
      <c r="J136">
        <f t="shared" si="56"/>
        <v>3</v>
      </c>
      <c r="K136">
        <f t="shared" si="56"/>
        <v>3</v>
      </c>
      <c r="L136">
        <f t="shared" si="56"/>
        <v>2</v>
      </c>
      <c r="M136">
        <f t="shared" si="56"/>
        <v>2</v>
      </c>
      <c r="N136">
        <f t="shared" si="57"/>
        <v>424</v>
      </c>
      <c r="O136">
        <f t="shared" si="59"/>
        <v>0</v>
      </c>
      <c r="P136">
        <f t="shared" si="59"/>
        <v>13</v>
      </c>
      <c r="Q136">
        <f t="shared" si="59"/>
        <v>15</v>
      </c>
      <c r="R136">
        <f t="shared" si="59"/>
        <v>75</v>
      </c>
      <c r="S136">
        <f t="shared" si="59"/>
        <v>300</v>
      </c>
      <c r="T136">
        <f t="shared" si="59"/>
        <v>50</v>
      </c>
    </row>
    <row r="137" spans="1:20">
      <c r="A137" s="1">
        <v>314</v>
      </c>
      <c r="B137" s="1" t="str">
        <f t="shared" si="52"/>
        <v>沃玛勇士头目</v>
      </c>
      <c r="C137" s="1" t="str">
        <f t="shared" si="53"/>
        <v>沃玛寺庙</v>
      </c>
      <c r="D137">
        <f t="shared" si="54"/>
        <v>19</v>
      </c>
      <c r="E137">
        <f t="shared" si="54"/>
        <v>34</v>
      </c>
      <c r="F137">
        <f t="shared" si="55"/>
        <v>0</v>
      </c>
      <c r="G137">
        <f t="shared" si="55"/>
        <v>0</v>
      </c>
      <c r="H137">
        <f t="shared" si="55"/>
        <v>0</v>
      </c>
      <c r="I137">
        <f t="shared" si="55"/>
        <v>0</v>
      </c>
      <c r="J137">
        <f t="shared" si="56"/>
        <v>3</v>
      </c>
      <c r="K137">
        <f t="shared" si="56"/>
        <v>3</v>
      </c>
      <c r="L137">
        <f t="shared" si="56"/>
        <v>2</v>
      </c>
      <c r="M137">
        <f t="shared" si="56"/>
        <v>2</v>
      </c>
      <c r="N137">
        <f t="shared" si="57"/>
        <v>456</v>
      </c>
      <c r="O137">
        <f t="shared" si="59"/>
        <v>0</v>
      </c>
      <c r="P137">
        <f t="shared" si="59"/>
        <v>13</v>
      </c>
      <c r="Q137">
        <f t="shared" si="59"/>
        <v>15</v>
      </c>
      <c r="R137">
        <f t="shared" si="59"/>
        <v>75</v>
      </c>
      <c r="S137">
        <f t="shared" si="59"/>
        <v>300</v>
      </c>
      <c r="T137">
        <f t="shared" si="59"/>
        <v>50</v>
      </c>
    </row>
    <row r="138" spans="1:20">
      <c r="A138" s="1">
        <v>315</v>
      </c>
      <c r="B138" s="1" t="str">
        <f t="shared" si="52"/>
        <v>沃玛战将头目</v>
      </c>
      <c r="C138" s="1" t="str">
        <f t="shared" si="53"/>
        <v>沃玛寺庙</v>
      </c>
      <c r="D138">
        <f t="shared" si="54"/>
        <v>18</v>
      </c>
      <c r="E138">
        <f t="shared" si="54"/>
        <v>35</v>
      </c>
      <c r="F138">
        <f t="shared" si="55"/>
        <v>0</v>
      </c>
      <c r="G138">
        <f t="shared" si="55"/>
        <v>0</v>
      </c>
      <c r="H138">
        <f t="shared" si="55"/>
        <v>0</v>
      </c>
      <c r="I138">
        <f t="shared" si="55"/>
        <v>0</v>
      </c>
      <c r="J138">
        <f t="shared" si="56"/>
        <v>3</v>
      </c>
      <c r="K138">
        <f t="shared" si="56"/>
        <v>3</v>
      </c>
      <c r="L138">
        <f t="shared" si="56"/>
        <v>2</v>
      </c>
      <c r="M138">
        <f t="shared" si="56"/>
        <v>2</v>
      </c>
      <c r="N138">
        <f t="shared" si="57"/>
        <v>456</v>
      </c>
      <c r="O138">
        <f t="shared" si="59"/>
        <v>0</v>
      </c>
      <c r="P138">
        <f t="shared" si="59"/>
        <v>13</v>
      </c>
      <c r="Q138">
        <f t="shared" si="59"/>
        <v>15</v>
      </c>
      <c r="R138">
        <f t="shared" si="59"/>
        <v>75</v>
      </c>
      <c r="S138">
        <f t="shared" si="59"/>
        <v>300</v>
      </c>
      <c r="T138">
        <f t="shared" si="59"/>
        <v>50</v>
      </c>
    </row>
    <row r="139" spans="1:20">
      <c r="A139" s="1">
        <v>316</v>
      </c>
      <c r="B139" s="1" t="str">
        <f t="shared" si="52"/>
        <v>火焰沃玛头目</v>
      </c>
      <c r="C139" s="1" t="str">
        <f t="shared" si="53"/>
        <v>沃玛寺庙</v>
      </c>
      <c r="D139">
        <f t="shared" si="54"/>
        <v>17</v>
      </c>
      <c r="E139">
        <f t="shared" si="54"/>
        <v>31</v>
      </c>
      <c r="F139">
        <f t="shared" si="55"/>
        <v>0</v>
      </c>
      <c r="G139">
        <f t="shared" si="55"/>
        <v>0</v>
      </c>
      <c r="H139">
        <f t="shared" si="55"/>
        <v>0</v>
      </c>
      <c r="I139">
        <f t="shared" si="55"/>
        <v>0</v>
      </c>
      <c r="J139">
        <f t="shared" si="56"/>
        <v>0</v>
      </c>
      <c r="K139">
        <f t="shared" si="56"/>
        <v>0</v>
      </c>
      <c r="L139">
        <f t="shared" si="56"/>
        <v>0</v>
      </c>
      <c r="M139">
        <f t="shared" si="56"/>
        <v>0</v>
      </c>
      <c r="N139">
        <f t="shared" si="57"/>
        <v>544</v>
      </c>
      <c r="O139">
        <f t="shared" si="59"/>
        <v>0</v>
      </c>
      <c r="P139">
        <f t="shared" si="59"/>
        <v>20</v>
      </c>
      <c r="Q139">
        <f t="shared" si="59"/>
        <v>20</v>
      </c>
      <c r="R139">
        <f t="shared" si="59"/>
        <v>75</v>
      </c>
      <c r="S139">
        <f t="shared" si="59"/>
        <v>300</v>
      </c>
      <c r="T139">
        <f t="shared" si="59"/>
        <v>50</v>
      </c>
    </row>
    <row r="140" spans="1:20">
      <c r="A140" s="1">
        <v>317</v>
      </c>
      <c r="B140" s="1" t="str">
        <f t="shared" si="52"/>
        <v>盔甲虫头目</v>
      </c>
      <c r="C140" s="1" t="str">
        <f t="shared" si="53"/>
        <v>盟重</v>
      </c>
      <c r="D140">
        <f t="shared" ref="D140:E159" si="60">ROUND(D28*1.2,0)</f>
        <v>5</v>
      </c>
      <c r="E140">
        <f t="shared" si="60"/>
        <v>12</v>
      </c>
      <c r="F140">
        <f t="shared" ref="F140:I159" si="61">ROUND(F28*1.5,0)</f>
        <v>0</v>
      </c>
      <c r="G140">
        <f t="shared" si="61"/>
        <v>0</v>
      </c>
      <c r="H140">
        <f t="shared" si="61"/>
        <v>0</v>
      </c>
      <c r="I140">
        <f t="shared" si="61"/>
        <v>0</v>
      </c>
      <c r="J140">
        <f t="shared" ref="J140:M159" si="62">J28</f>
        <v>0</v>
      </c>
      <c r="K140">
        <f t="shared" si="62"/>
        <v>0</v>
      </c>
      <c r="L140">
        <f t="shared" si="62"/>
        <v>0</v>
      </c>
      <c r="M140">
        <f t="shared" si="62"/>
        <v>0</v>
      </c>
      <c r="N140">
        <f t="shared" si="57"/>
        <v>80</v>
      </c>
      <c r="O140">
        <f t="shared" ref="O140:T149" si="63">O28</f>
        <v>0</v>
      </c>
      <c r="P140">
        <f t="shared" si="63"/>
        <v>7</v>
      </c>
      <c r="Q140">
        <f t="shared" si="63"/>
        <v>12</v>
      </c>
      <c r="R140">
        <f t="shared" si="63"/>
        <v>75</v>
      </c>
      <c r="S140">
        <f t="shared" si="63"/>
        <v>300</v>
      </c>
      <c r="T140">
        <f t="shared" si="63"/>
        <v>50</v>
      </c>
    </row>
    <row r="141" spans="1:20">
      <c r="A141" s="1">
        <v>338</v>
      </c>
      <c r="B141" s="1" t="str">
        <f t="shared" si="52"/>
        <v>熊头目</v>
      </c>
      <c r="C141" s="1" t="str">
        <f t="shared" si="53"/>
        <v>盟重</v>
      </c>
      <c r="D141">
        <f t="shared" si="60"/>
        <v>6</v>
      </c>
      <c r="E141">
        <f t="shared" si="60"/>
        <v>10</v>
      </c>
      <c r="F141">
        <f t="shared" si="61"/>
        <v>0</v>
      </c>
      <c r="G141">
        <f t="shared" si="61"/>
        <v>0</v>
      </c>
      <c r="H141">
        <f t="shared" si="61"/>
        <v>0</v>
      </c>
      <c r="I141">
        <f t="shared" si="61"/>
        <v>0</v>
      </c>
      <c r="J141">
        <f t="shared" si="62"/>
        <v>0</v>
      </c>
      <c r="K141">
        <f t="shared" si="62"/>
        <v>0</v>
      </c>
      <c r="L141">
        <f t="shared" si="62"/>
        <v>0</v>
      </c>
      <c r="M141">
        <f t="shared" si="62"/>
        <v>0</v>
      </c>
      <c r="N141">
        <f t="shared" si="57"/>
        <v>74</v>
      </c>
      <c r="O141">
        <f t="shared" si="63"/>
        <v>0</v>
      </c>
      <c r="P141">
        <f t="shared" si="63"/>
        <v>10</v>
      </c>
      <c r="Q141">
        <f t="shared" si="63"/>
        <v>12</v>
      </c>
      <c r="R141">
        <f t="shared" si="63"/>
        <v>75</v>
      </c>
      <c r="S141">
        <f t="shared" si="63"/>
        <v>300</v>
      </c>
      <c r="T141">
        <f t="shared" si="63"/>
        <v>50</v>
      </c>
    </row>
    <row r="142" spans="1:20">
      <c r="A142" s="1">
        <v>318</v>
      </c>
      <c r="B142" s="1" t="str">
        <f t="shared" si="52"/>
        <v>狼头目</v>
      </c>
      <c r="C142" s="1" t="str">
        <f t="shared" si="53"/>
        <v>盟重</v>
      </c>
      <c r="D142">
        <f t="shared" si="60"/>
        <v>7</v>
      </c>
      <c r="E142">
        <f t="shared" si="60"/>
        <v>11</v>
      </c>
      <c r="F142">
        <f t="shared" si="61"/>
        <v>0</v>
      </c>
      <c r="G142">
        <f t="shared" si="61"/>
        <v>0</v>
      </c>
      <c r="H142">
        <f t="shared" si="61"/>
        <v>0</v>
      </c>
      <c r="I142">
        <f t="shared" si="61"/>
        <v>0</v>
      </c>
      <c r="J142">
        <f t="shared" si="62"/>
        <v>0</v>
      </c>
      <c r="K142">
        <f t="shared" si="62"/>
        <v>0</v>
      </c>
      <c r="L142">
        <f t="shared" si="62"/>
        <v>0</v>
      </c>
      <c r="M142">
        <f t="shared" si="62"/>
        <v>0</v>
      </c>
      <c r="N142">
        <f t="shared" si="57"/>
        <v>59</v>
      </c>
      <c r="O142">
        <f t="shared" si="63"/>
        <v>0</v>
      </c>
      <c r="P142">
        <f t="shared" si="63"/>
        <v>10</v>
      </c>
      <c r="Q142">
        <f t="shared" si="63"/>
        <v>13</v>
      </c>
      <c r="R142">
        <f t="shared" si="63"/>
        <v>75</v>
      </c>
      <c r="S142">
        <f t="shared" si="63"/>
        <v>300</v>
      </c>
      <c r="T142">
        <f t="shared" si="63"/>
        <v>50</v>
      </c>
    </row>
    <row r="143" spans="1:20">
      <c r="A143" s="1">
        <v>319</v>
      </c>
      <c r="B143" s="1" t="str">
        <f t="shared" si="52"/>
        <v>多角虫头目</v>
      </c>
      <c r="C143" s="1" t="str">
        <f t="shared" si="53"/>
        <v>盟重</v>
      </c>
      <c r="D143">
        <f t="shared" si="60"/>
        <v>8</v>
      </c>
      <c r="E143">
        <f t="shared" si="60"/>
        <v>10</v>
      </c>
      <c r="F143">
        <f t="shared" si="61"/>
        <v>0</v>
      </c>
      <c r="G143">
        <f t="shared" si="61"/>
        <v>0</v>
      </c>
      <c r="H143">
        <f t="shared" si="61"/>
        <v>0</v>
      </c>
      <c r="I143">
        <f t="shared" si="61"/>
        <v>0</v>
      </c>
      <c r="J143">
        <f t="shared" si="62"/>
        <v>0</v>
      </c>
      <c r="K143">
        <f t="shared" si="62"/>
        <v>0</v>
      </c>
      <c r="L143">
        <f t="shared" si="62"/>
        <v>0</v>
      </c>
      <c r="M143">
        <f t="shared" si="62"/>
        <v>0</v>
      </c>
      <c r="N143">
        <f t="shared" si="57"/>
        <v>83</v>
      </c>
      <c r="O143">
        <f t="shared" si="63"/>
        <v>0</v>
      </c>
      <c r="P143">
        <f t="shared" si="63"/>
        <v>10</v>
      </c>
      <c r="Q143">
        <f t="shared" si="63"/>
        <v>13</v>
      </c>
      <c r="R143">
        <f t="shared" si="63"/>
        <v>75</v>
      </c>
      <c r="S143">
        <f t="shared" si="63"/>
        <v>300</v>
      </c>
      <c r="T143">
        <f t="shared" si="63"/>
        <v>50</v>
      </c>
    </row>
    <row r="144" spans="1:20">
      <c r="A144" s="1">
        <v>320</v>
      </c>
      <c r="B144" s="1" t="str">
        <f t="shared" si="52"/>
        <v>蜈蚣头目</v>
      </c>
      <c r="C144" s="1" t="str">
        <f t="shared" si="53"/>
        <v>死亡峡谷</v>
      </c>
      <c r="D144">
        <f t="shared" si="60"/>
        <v>14</v>
      </c>
      <c r="E144">
        <f t="shared" si="60"/>
        <v>22</v>
      </c>
      <c r="F144">
        <f t="shared" si="61"/>
        <v>0</v>
      </c>
      <c r="G144">
        <f t="shared" si="61"/>
        <v>0</v>
      </c>
      <c r="H144">
        <f t="shared" si="61"/>
        <v>0</v>
      </c>
      <c r="I144">
        <f t="shared" si="61"/>
        <v>0</v>
      </c>
      <c r="J144">
        <f t="shared" si="62"/>
        <v>0</v>
      </c>
      <c r="K144">
        <f t="shared" si="62"/>
        <v>0</v>
      </c>
      <c r="L144">
        <f t="shared" si="62"/>
        <v>5</v>
      </c>
      <c r="M144">
        <f t="shared" si="62"/>
        <v>5</v>
      </c>
      <c r="N144">
        <f t="shared" ref="N144:N162" si="64">ROUND(N32*1.6,-1)</f>
        <v>370</v>
      </c>
      <c r="O144">
        <f t="shared" si="63"/>
        <v>0</v>
      </c>
      <c r="P144">
        <f t="shared" si="63"/>
        <v>13</v>
      </c>
      <c r="Q144">
        <f t="shared" si="63"/>
        <v>15</v>
      </c>
      <c r="R144">
        <f t="shared" si="63"/>
        <v>75</v>
      </c>
      <c r="S144">
        <f t="shared" si="63"/>
        <v>300</v>
      </c>
      <c r="T144">
        <f t="shared" si="63"/>
        <v>50</v>
      </c>
    </row>
    <row r="145" spans="1:20">
      <c r="A145" s="1">
        <v>321</v>
      </c>
      <c r="B145" s="1" t="str">
        <f t="shared" si="52"/>
        <v>巨型蠕虫头目</v>
      </c>
      <c r="C145" s="1" t="str">
        <f t="shared" si="53"/>
        <v>死亡峡谷</v>
      </c>
      <c r="D145">
        <f t="shared" si="60"/>
        <v>18</v>
      </c>
      <c r="E145">
        <f t="shared" si="60"/>
        <v>22</v>
      </c>
      <c r="F145">
        <f t="shared" si="61"/>
        <v>0</v>
      </c>
      <c r="G145">
        <f t="shared" si="61"/>
        <v>0</v>
      </c>
      <c r="H145">
        <f t="shared" si="61"/>
        <v>0</v>
      </c>
      <c r="I145">
        <f t="shared" si="61"/>
        <v>0</v>
      </c>
      <c r="J145">
        <f t="shared" si="62"/>
        <v>3</v>
      </c>
      <c r="K145">
        <f t="shared" si="62"/>
        <v>3</v>
      </c>
      <c r="L145">
        <f t="shared" si="62"/>
        <v>3</v>
      </c>
      <c r="M145">
        <f t="shared" si="62"/>
        <v>3</v>
      </c>
      <c r="N145">
        <f t="shared" si="64"/>
        <v>320</v>
      </c>
      <c r="O145">
        <f t="shared" si="63"/>
        <v>0</v>
      </c>
      <c r="P145">
        <f t="shared" si="63"/>
        <v>13</v>
      </c>
      <c r="Q145">
        <f t="shared" si="63"/>
        <v>15</v>
      </c>
      <c r="R145">
        <f t="shared" si="63"/>
        <v>75</v>
      </c>
      <c r="S145">
        <f t="shared" si="63"/>
        <v>300</v>
      </c>
      <c r="T145">
        <f t="shared" si="63"/>
        <v>50</v>
      </c>
    </row>
    <row r="146" spans="1:20">
      <c r="A146" s="1">
        <v>322</v>
      </c>
      <c r="B146" s="1" t="str">
        <f t="shared" si="52"/>
        <v>钳虫头目</v>
      </c>
      <c r="C146" s="1" t="str">
        <f t="shared" si="53"/>
        <v>死亡峡谷</v>
      </c>
      <c r="D146">
        <f t="shared" si="60"/>
        <v>18</v>
      </c>
      <c r="E146">
        <f t="shared" si="60"/>
        <v>30</v>
      </c>
      <c r="F146">
        <f t="shared" si="61"/>
        <v>0</v>
      </c>
      <c r="G146">
        <f t="shared" si="61"/>
        <v>0</v>
      </c>
      <c r="H146">
        <f t="shared" si="61"/>
        <v>0</v>
      </c>
      <c r="I146">
        <f t="shared" si="61"/>
        <v>0</v>
      </c>
      <c r="J146">
        <f t="shared" si="62"/>
        <v>5</v>
      </c>
      <c r="K146">
        <f t="shared" si="62"/>
        <v>5</v>
      </c>
      <c r="L146">
        <f t="shared" si="62"/>
        <v>7</v>
      </c>
      <c r="M146">
        <f t="shared" si="62"/>
        <v>7</v>
      </c>
      <c r="N146">
        <f t="shared" si="64"/>
        <v>430</v>
      </c>
      <c r="O146">
        <f t="shared" si="63"/>
        <v>0</v>
      </c>
      <c r="P146">
        <f t="shared" si="63"/>
        <v>13</v>
      </c>
      <c r="Q146">
        <f t="shared" si="63"/>
        <v>15</v>
      </c>
      <c r="R146">
        <f t="shared" si="63"/>
        <v>75</v>
      </c>
      <c r="S146">
        <f t="shared" si="63"/>
        <v>300</v>
      </c>
      <c r="T146">
        <f t="shared" si="63"/>
        <v>50</v>
      </c>
    </row>
    <row r="147" spans="1:20">
      <c r="A147" s="1">
        <v>323</v>
      </c>
      <c r="B147" s="1" t="str">
        <f t="shared" si="52"/>
        <v>跳跳蜂头目</v>
      </c>
      <c r="C147" s="1" t="str">
        <f t="shared" si="53"/>
        <v>死亡峡谷</v>
      </c>
      <c r="D147">
        <f t="shared" si="60"/>
        <v>14</v>
      </c>
      <c r="E147">
        <f t="shared" si="60"/>
        <v>22</v>
      </c>
      <c r="F147">
        <f t="shared" si="61"/>
        <v>0</v>
      </c>
      <c r="G147">
        <f t="shared" si="61"/>
        <v>0</v>
      </c>
      <c r="H147">
        <f t="shared" si="61"/>
        <v>0</v>
      </c>
      <c r="I147">
        <f t="shared" si="61"/>
        <v>0</v>
      </c>
      <c r="J147">
        <f t="shared" si="62"/>
        <v>3</v>
      </c>
      <c r="K147">
        <f t="shared" si="62"/>
        <v>3</v>
      </c>
      <c r="L147">
        <f t="shared" si="62"/>
        <v>3</v>
      </c>
      <c r="M147">
        <f t="shared" si="62"/>
        <v>3</v>
      </c>
      <c r="N147">
        <f t="shared" si="64"/>
        <v>320</v>
      </c>
      <c r="O147">
        <f t="shared" si="63"/>
        <v>0</v>
      </c>
      <c r="P147">
        <f t="shared" si="63"/>
        <v>13</v>
      </c>
      <c r="Q147">
        <f t="shared" si="63"/>
        <v>15</v>
      </c>
      <c r="R147">
        <f t="shared" si="63"/>
        <v>75</v>
      </c>
      <c r="S147">
        <f t="shared" si="63"/>
        <v>300</v>
      </c>
      <c r="T147">
        <f t="shared" si="63"/>
        <v>50</v>
      </c>
    </row>
    <row r="148" spans="1:20">
      <c r="A148" s="1">
        <v>324</v>
      </c>
      <c r="B148" s="1" t="str">
        <f t="shared" si="52"/>
        <v>恶蛆头目</v>
      </c>
      <c r="C148" s="1" t="str">
        <f t="shared" si="53"/>
        <v>石墓</v>
      </c>
      <c r="D148">
        <f t="shared" si="60"/>
        <v>12</v>
      </c>
      <c r="E148">
        <f t="shared" si="60"/>
        <v>18</v>
      </c>
      <c r="F148">
        <f t="shared" si="61"/>
        <v>0</v>
      </c>
      <c r="G148">
        <f t="shared" si="61"/>
        <v>0</v>
      </c>
      <c r="H148">
        <f t="shared" si="61"/>
        <v>0</v>
      </c>
      <c r="I148">
        <f t="shared" si="61"/>
        <v>0</v>
      </c>
      <c r="J148">
        <f t="shared" si="62"/>
        <v>5</v>
      </c>
      <c r="K148">
        <f t="shared" si="62"/>
        <v>5</v>
      </c>
      <c r="L148">
        <f t="shared" si="62"/>
        <v>0</v>
      </c>
      <c r="M148">
        <f t="shared" si="62"/>
        <v>0</v>
      </c>
      <c r="N148">
        <f t="shared" si="64"/>
        <v>370</v>
      </c>
      <c r="O148">
        <f t="shared" si="63"/>
        <v>0</v>
      </c>
      <c r="P148">
        <f t="shared" si="63"/>
        <v>13</v>
      </c>
      <c r="Q148">
        <f t="shared" si="63"/>
        <v>15</v>
      </c>
      <c r="R148">
        <f t="shared" si="63"/>
        <v>75</v>
      </c>
      <c r="S148">
        <f t="shared" si="63"/>
        <v>300</v>
      </c>
      <c r="T148">
        <f t="shared" si="63"/>
        <v>50</v>
      </c>
    </row>
    <row r="149" spans="1:20">
      <c r="A149" s="1">
        <v>325</v>
      </c>
      <c r="B149" s="1" t="str">
        <f t="shared" si="52"/>
        <v>红野猪头目</v>
      </c>
      <c r="C149" s="1" t="str">
        <f t="shared" si="53"/>
        <v>石墓</v>
      </c>
      <c r="D149">
        <f t="shared" si="60"/>
        <v>22</v>
      </c>
      <c r="E149">
        <f t="shared" si="60"/>
        <v>30</v>
      </c>
      <c r="F149">
        <f t="shared" si="61"/>
        <v>0</v>
      </c>
      <c r="G149">
        <f t="shared" si="61"/>
        <v>0</v>
      </c>
      <c r="H149">
        <f t="shared" si="61"/>
        <v>0</v>
      </c>
      <c r="I149">
        <f t="shared" si="61"/>
        <v>0</v>
      </c>
      <c r="J149">
        <f t="shared" si="62"/>
        <v>0</v>
      </c>
      <c r="K149">
        <f t="shared" si="62"/>
        <v>0</v>
      </c>
      <c r="L149">
        <f t="shared" si="62"/>
        <v>8</v>
      </c>
      <c r="M149">
        <f t="shared" si="62"/>
        <v>8</v>
      </c>
      <c r="N149">
        <f t="shared" si="64"/>
        <v>530</v>
      </c>
      <c r="O149">
        <f t="shared" si="63"/>
        <v>0</v>
      </c>
      <c r="P149">
        <f t="shared" si="63"/>
        <v>13</v>
      </c>
      <c r="Q149">
        <f t="shared" si="63"/>
        <v>15</v>
      </c>
      <c r="R149">
        <f t="shared" si="63"/>
        <v>75</v>
      </c>
      <c r="S149">
        <f t="shared" si="63"/>
        <v>300</v>
      </c>
      <c r="T149">
        <f t="shared" si="63"/>
        <v>50</v>
      </c>
    </row>
    <row r="150" spans="1:20">
      <c r="A150" s="1">
        <v>326</v>
      </c>
      <c r="B150" s="1" t="str">
        <f t="shared" si="52"/>
        <v>黑野猪头目</v>
      </c>
      <c r="C150" s="1" t="str">
        <f t="shared" si="53"/>
        <v>石墓</v>
      </c>
      <c r="D150">
        <f t="shared" si="60"/>
        <v>24</v>
      </c>
      <c r="E150">
        <f t="shared" si="60"/>
        <v>31</v>
      </c>
      <c r="F150">
        <f t="shared" si="61"/>
        <v>0</v>
      </c>
      <c r="G150">
        <f t="shared" si="61"/>
        <v>0</v>
      </c>
      <c r="H150">
        <f t="shared" si="61"/>
        <v>0</v>
      </c>
      <c r="I150">
        <f t="shared" si="61"/>
        <v>0</v>
      </c>
      <c r="J150">
        <f t="shared" si="62"/>
        <v>10</v>
      </c>
      <c r="K150">
        <f t="shared" si="62"/>
        <v>10</v>
      </c>
      <c r="L150">
        <f t="shared" si="62"/>
        <v>0</v>
      </c>
      <c r="M150">
        <f t="shared" si="62"/>
        <v>0</v>
      </c>
      <c r="N150">
        <f t="shared" si="64"/>
        <v>500</v>
      </c>
      <c r="O150">
        <f t="shared" ref="O150:T159" si="65">O38</f>
        <v>0</v>
      </c>
      <c r="P150">
        <f t="shared" si="65"/>
        <v>13</v>
      </c>
      <c r="Q150">
        <f t="shared" si="65"/>
        <v>15</v>
      </c>
      <c r="R150">
        <f t="shared" si="65"/>
        <v>75</v>
      </c>
      <c r="S150">
        <f t="shared" si="65"/>
        <v>300</v>
      </c>
      <c r="T150">
        <f t="shared" si="65"/>
        <v>50</v>
      </c>
    </row>
    <row r="151" spans="1:20">
      <c r="A151" s="1">
        <v>327</v>
      </c>
      <c r="B151" s="1" t="str">
        <f t="shared" si="52"/>
        <v>白野猪头目</v>
      </c>
      <c r="C151" s="1" t="str">
        <f t="shared" si="53"/>
        <v>石墓</v>
      </c>
      <c r="D151">
        <f t="shared" si="60"/>
        <v>36</v>
      </c>
      <c r="E151">
        <f t="shared" si="60"/>
        <v>66</v>
      </c>
      <c r="F151">
        <f t="shared" si="61"/>
        <v>0</v>
      </c>
      <c r="G151">
        <f t="shared" si="61"/>
        <v>0</v>
      </c>
      <c r="H151">
        <f t="shared" si="61"/>
        <v>0</v>
      </c>
      <c r="I151">
        <f t="shared" si="61"/>
        <v>0</v>
      </c>
      <c r="J151">
        <f t="shared" si="62"/>
        <v>15</v>
      </c>
      <c r="K151">
        <f t="shared" si="62"/>
        <v>15</v>
      </c>
      <c r="L151">
        <f t="shared" si="62"/>
        <v>15</v>
      </c>
      <c r="M151">
        <f t="shared" si="62"/>
        <v>15</v>
      </c>
      <c r="N151">
        <f t="shared" si="64"/>
        <v>1600</v>
      </c>
      <c r="O151">
        <f t="shared" si="65"/>
        <v>0</v>
      </c>
      <c r="P151">
        <f t="shared" si="65"/>
        <v>17</v>
      </c>
      <c r="Q151">
        <f t="shared" si="65"/>
        <v>25</v>
      </c>
      <c r="R151">
        <f t="shared" si="65"/>
        <v>75</v>
      </c>
      <c r="S151">
        <f t="shared" si="65"/>
        <v>300</v>
      </c>
      <c r="T151">
        <f t="shared" si="65"/>
        <v>50</v>
      </c>
    </row>
    <row r="152" spans="1:20">
      <c r="A152" s="1">
        <v>328</v>
      </c>
      <c r="B152" s="1" t="str">
        <f t="shared" ref="B152:B175" si="66">B40&amp;"头目"</f>
        <v>虹魔猪卫头目</v>
      </c>
      <c r="C152" s="1" t="str">
        <f t="shared" ref="C152:C175" si="67">C40</f>
        <v>虹魔教坛</v>
      </c>
      <c r="D152">
        <f t="shared" si="60"/>
        <v>48</v>
      </c>
      <c r="E152">
        <f t="shared" si="60"/>
        <v>72</v>
      </c>
      <c r="F152">
        <f t="shared" si="61"/>
        <v>0</v>
      </c>
      <c r="G152">
        <f t="shared" si="61"/>
        <v>0</v>
      </c>
      <c r="H152">
        <f t="shared" si="61"/>
        <v>0</v>
      </c>
      <c r="I152">
        <f t="shared" si="61"/>
        <v>0</v>
      </c>
      <c r="J152">
        <f t="shared" si="62"/>
        <v>20</v>
      </c>
      <c r="K152">
        <f t="shared" si="62"/>
        <v>20</v>
      </c>
      <c r="L152">
        <f t="shared" si="62"/>
        <v>20</v>
      </c>
      <c r="M152">
        <f t="shared" si="62"/>
        <v>20</v>
      </c>
      <c r="N152">
        <f t="shared" si="64"/>
        <v>2400</v>
      </c>
      <c r="O152">
        <f t="shared" si="65"/>
        <v>0</v>
      </c>
      <c r="P152">
        <f t="shared" si="65"/>
        <v>17</v>
      </c>
      <c r="Q152">
        <f t="shared" si="65"/>
        <v>25</v>
      </c>
      <c r="R152">
        <f t="shared" si="65"/>
        <v>75</v>
      </c>
      <c r="S152">
        <f t="shared" si="65"/>
        <v>300</v>
      </c>
      <c r="T152">
        <f t="shared" si="65"/>
        <v>50</v>
      </c>
    </row>
    <row r="153" spans="1:20">
      <c r="A153" s="1">
        <v>329</v>
      </c>
      <c r="B153" s="1" t="str">
        <f t="shared" si="66"/>
        <v>虹魔蝎卫头目</v>
      </c>
      <c r="C153" s="1" t="str">
        <f t="shared" si="67"/>
        <v>虹魔教坛</v>
      </c>
      <c r="D153">
        <f t="shared" si="60"/>
        <v>54</v>
      </c>
      <c r="E153">
        <f t="shared" si="60"/>
        <v>78</v>
      </c>
      <c r="F153">
        <f t="shared" si="61"/>
        <v>0</v>
      </c>
      <c r="G153">
        <f t="shared" si="61"/>
        <v>0</v>
      </c>
      <c r="H153">
        <f t="shared" si="61"/>
        <v>0</v>
      </c>
      <c r="I153">
        <f t="shared" si="61"/>
        <v>0</v>
      </c>
      <c r="J153">
        <f t="shared" si="62"/>
        <v>25</v>
      </c>
      <c r="K153">
        <f t="shared" si="62"/>
        <v>25</v>
      </c>
      <c r="L153">
        <f t="shared" si="62"/>
        <v>25</v>
      </c>
      <c r="M153">
        <f t="shared" si="62"/>
        <v>25</v>
      </c>
      <c r="N153">
        <f t="shared" si="64"/>
        <v>3200</v>
      </c>
      <c r="O153">
        <f t="shared" si="65"/>
        <v>0</v>
      </c>
      <c r="P153">
        <f t="shared" si="65"/>
        <v>17</v>
      </c>
      <c r="Q153">
        <f t="shared" si="65"/>
        <v>25</v>
      </c>
      <c r="R153">
        <f t="shared" si="65"/>
        <v>75</v>
      </c>
      <c r="S153">
        <f t="shared" si="65"/>
        <v>300</v>
      </c>
      <c r="T153">
        <f t="shared" si="65"/>
        <v>50</v>
      </c>
    </row>
    <row r="154" spans="1:20">
      <c r="A154" s="1">
        <v>330</v>
      </c>
      <c r="B154" s="1" t="str">
        <f t="shared" si="66"/>
        <v>残肢僵尸1头目</v>
      </c>
      <c r="C154" s="1" t="str">
        <f t="shared" si="67"/>
        <v>比奇矿区</v>
      </c>
      <c r="D154">
        <f t="shared" si="60"/>
        <v>6</v>
      </c>
      <c r="E154">
        <f t="shared" si="60"/>
        <v>14</v>
      </c>
      <c r="F154">
        <f t="shared" si="61"/>
        <v>0</v>
      </c>
      <c r="G154">
        <f t="shared" si="61"/>
        <v>0</v>
      </c>
      <c r="H154">
        <f t="shared" si="61"/>
        <v>0</v>
      </c>
      <c r="I154">
        <f t="shared" si="61"/>
        <v>0</v>
      </c>
      <c r="J154">
        <f t="shared" si="62"/>
        <v>2</v>
      </c>
      <c r="K154">
        <f t="shared" si="62"/>
        <v>2</v>
      </c>
      <c r="L154">
        <f t="shared" si="62"/>
        <v>1</v>
      </c>
      <c r="M154">
        <f t="shared" si="62"/>
        <v>1</v>
      </c>
      <c r="N154">
        <f t="shared" si="64"/>
        <v>120</v>
      </c>
      <c r="O154">
        <f t="shared" si="65"/>
        <v>0</v>
      </c>
      <c r="P154">
        <f t="shared" si="65"/>
        <v>5</v>
      </c>
      <c r="Q154">
        <f t="shared" si="65"/>
        <v>10</v>
      </c>
      <c r="R154">
        <f t="shared" si="65"/>
        <v>75</v>
      </c>
      <c r="S154">
        <f t="shared" si="65"/>
        <v>300</v>
      </c>
      <c r="T154">
        <f t="shared" si="65"/>
        <v>50</v>
      </c>
    </row>
    <row r="155" spans="1:20">
      <c r="A155" s="1">
        <v>331</v>
      </c>
      <c r="B155" s="1" t="str">
        <f t="shared" si="66"/>
        <v>直立僵尸2头目</v>
      </c>
      <c r="C155" s="1" t="str">
        <f t="shared" si="67"/>
        <v>比奇矿区</v>
      </c>
      <c r="D155">
        <f t="shared" si="60"/>
        <v>6</v>
      </c>
      <c r="E155">
        <f t="shared" si="60"/>
        <v>18</v>
      </c>
      <c r="F155">
        <f t="shared" si="61"/>
        <v>0</v>
      </c>
      <c r="G155">
        <f t="shared" si="61"/>
        <v>0</v>
      </c>
      <c r="H155">
        <f t="shared" si="61"/>
        <v>0</v>
      </c>
      <c r="I155">
        <f t="shared" si="61"/>
        <v>0</v>
      </c>
      <c r="J155">
        <f t="shared" si="62"/>
        <v>2</v>
      </c>
      <c r="K155">
        <f t="shared" si="62"/>
        <v>2</v>
      </c>
      <c r="L155">
        <f t="shared" si="62"/>
        <v>1</v>
      </c>
      <c r="M155">
        <f t="shared" si="62"/>
        <v>1</v>
      </c>
      <c r="N155">
        <f t="shared" si="64"/>
        <v>120</v>
      </c>
      <c r="O155">
        <f t="shared" si="65"/>
        <v>0</v>
      </c>
      <c r="P155">
        <f t="shared" si="65"/>
        <v>5</v>
      </c>
      <c r="Q155">
        <f t="shared" si="65"/>
        <v>10</v>
      </c>
      <c r="R155">
        <f t="shared" si="65"/>
        <v>75</v>
      </c>
      <c r="S155">
        <f t="shared" si="65"/>
        <v>300</v>
      </c>
      <c r="T155">
        <f t="shared" si="65"/>
        <v>50</v>
      </c>
    </row>
    <row r="156" spans="1:20">
      <c r="A156" s="1">
        <v>332</v>
      </c>
      <c r="B156" s="1" t="str">
        <f t="shared" si="66"/>
        <v>残肢僵尸1头目</v>
      </c>
      <c r="C156" s="1" t="str">
        <f t="shared" si="67"/>
        <v>比奇矿区</v>
      </c>
      <c r="D156">
        <f t="shared" si="60"/>
        <v>6</v>
      </c>
      <c r="E156">
        <f t="shared" si="60"/>
        <v>14</v>
      </c>
      <c r="F156">
        <f t="shared" si="61"/>
        <v>0</v>
      </c>
      <c r="G156">
        <f t="shared" si="61"/>
        <v>0</v>
      </c>
      <c r="H156">
        <f t="shared" si="61"/>
        <v>0</v>
      </c>
      <c r="I156">
        <f t="shared" si="61"/>
        <v>0</v>
      </c>
      <c r="J156">
        <f t="shared" si="62"/>
        <v>2</v>
      </c>
      <c r="K156">
        <f t="shared" si="62"/>
        <v>2</v>
      </c>
      <c r="L156">
        <f t="shared" si="62"/>
        <v>1</v>
      </c>
      <c r="M156">
        <f t="shared" si="62"/>
        <v>1</v>
      </c>
      <c r="N156">
        <f t="shared" si="64"/>
        <v>60</v>
      </c>
      <c r="O156">
        <f t="shared" si="65"/>
        <v>0</v>
      </c>
      <c r="P156">
        <f t="shared" si="65"/>
        <v>5</v>
      </c>
      <c r="Q156">
        <f t="shared" si="65"/>
        <v>10</v>
      </c>
      <c r="R156">
        <f t="shared" si="65"/>
        <v>75</v>
      </c>
      <c r="S156">
        <f t="shared" si="65"/>
        <v>300</v>
      </c>
      <c r="T156">
        <f t="shared" si="65"/>
        <v>50</v>
      </c>
    </row>
    <row r="157" spans="1:20">
      <c r="A157" s="1">
        <v>333</v>
      </c>
      <c r="B157" s="1" t="str">
        <f t="shared" si="66"/>
        <v>直立僵尸2头目</v>
      </c>
      <c r="C157" s="1" t="str">
        <f t="shared" si="67"/>
        <v>比奇矿区</v>
      </c>
      <c r="D157">
        <f t="shared" si="60"/>
        <v>6</v>
      </c>
      <c r="E157">
        <f t="shared" si="60"/>
        <v>18</v>
      </c>
      <c r="F157">
        <f t="shared" si="61"/>
        <v>0</v>
      </c>
      <c r="G157">
        <f t="shared" si="61"/>
        <v>0</v>
      </c>
      <c r="H157">
        <f t="shared" si="61"/>
        <v>0</v>
      </c>
      <c r="I157">
        <f t="shared" si="61"/>
        <v>0</v>
      </c>
      <c r="J157">
        <f t="shared" si="62"/>
        <v>2</v>
      </c>
      <c r="K157">
        <f t="shared" si="62"/>
        <v>2</v>
      </c>
      <c r="L157">
        <f t="shared" si="62"/>
        <v>1</v>
      </c>
      <c r="M157">
        <f t="shared" si="62"/>
        <v>1</v>
      </c>
      <c r="N157">
        <f t="shared" si="64"/>
        <v>60</v>
      </c>
      <c r="O157">
        <f t="shared" si="65"/>
        <v>0</v>
      </c>
      <c r="P157">
        <f t="shared" si="65"/>
        <v>5</v>
      </c>
      <c r="Q157">
        <f t="shared" si="65"/>
        <v>10</v>
      </c>
      <c r="R157">
        <f t="shared" si="65"/>
        <v>75</v>
      </c>
      <c r="S157">
        <f t="shared" si="65"/>
        <v>300</v>
      </c>
      <c r="T157">
        <f t="shared" si="65"/>
        <v>50</v>
      </c>
    </row>
    <row r="158" spans="1:20">
      <c r="A158" s="1">
        <v>334</v>
      </c>
      <c r="B158" s="1" t="str">
        <f t="shared" si="66"/>
        <v>祖玛老鼠头目</v>
      </c>
      <c r="C158" s="1" t="str">
        <f t="shared" si="67"/>
        <v>祖玛寺庙</v>
      </c>
      <c r="D158">
        <f t="shared" si="60"/>
        <v>14</v>
      </c>
      <c r="E158">
        <f t="shared" si="60"/>
        <v>28</v>
      </c>
      <c r="F158">
        <f t="shared" si="61"/>
        <v>0</v>
      </c>
      <c r="G158">
        <f t="shared" si="61"/>
        <v>0</v>
      </c>
      <c r="H158">
        <f t="shared" si="61"/>
        <v>0</v>
      </c>
      <c r="I158">
        <f t="shared" si="61"/>
        <v>0</v>
      </c>
      <c r="J158">
        <f t="shared" si="62"/>
        <v>3</v>
      </c>
      <c r="K158">
        <f t="shared" si="62"/>
        <v>3</v>
      </c>
      <c r="L158">
        <f t="shared" si="62"/>
        <v>5</v>
      </c>
      <c r="M158">
        <f t="shared" si="62"/>
        <v>5</v>
      </c>
      <c r="N158">
        <f t="shared" si="64"/>
        <v>620</v>
      </c>
      <c r="O158">
        <f t="shared" si="65"/>
        <v>0</v>
      </c>
      <c r="P158">
        <f t="shared" si="65"/>
        <v>12</v>
      </c>
      <c r="Q158">
        <f t="shared" si="65"/>
        <v>15</v>
      </c>
      <c r="R158">
        <f t="shared" si="65"/>
        <v>75</v>
      </c>
      <c r="S158">
        <f t="shared" si="65"/>
        <v>300</v>
      </c>
      <c r="T158">
        <f t="shared" si="65"/>
        <v>50</v>
      </c>
    </row>
    <row r="159" spans="1:20">
      <c r="A159" s="1">
        <v>335</v>
      </c>
      <c r="B159" s="1" t="str">
        <f t="shared" si="66"/>
        <v>祖玛卫士弓头目</v>
      </c>
      <c r="C159" s="1" t="str">
        <f t="shared" si="67"/>
        <v>祖玛寺庙</v>
      </c>
      <c r="D159">
        <f t="shared" si="60"/>
        <v>14</v>
      </c>
      <c r="E159">
        <f t="shared" si="60"/>
        <v>22</v>
      </c>
      <c r="F159">
        <f t="shared" si="61"/>
        <v>0</v>
      </c>
      <c r="G159">
        <f t="shared" si="61"/>
        <v>0</v>
      </c>
      <c r="H159">
        <f t="shared" si="61"/>
        <v>0</v>
      </c>
      <c r="I159">
        <f t="shared" si="61"/>
        <v>0</v>
      </c>
      <c r="J159">
        <f t="shared" si="62"/>
        <v>10</v>
      </c>
      <c r="K159">
        <f t="shared" si="62"/>
        <v>10</v>
      </c>
      <c r="L159">
        <f t="shared" si="62"/>
        <v>10</v>
      </c>
      <c r="M159">
        <f t="shared" si="62"/>
        <v>10</v>
      </c>
      <c r="N159">
        <f t="shared" si="64"/>
        <v>620</v>
      </c>
      <c r="O159">
        <f t="shared" si="65"/>
        <v>0</v>
      </c>
      <c r="P159">
        <f t="shared" si="65"/>
        <v>15</v>
      </c>
      <c r="Q159">
        <f t="shared" si="65"/>
        <v>15</v>
      </c>
      <c r="R159">
        <f t="shared" si="65"/>
        <v>75</v>
      </c>
      <c r="S159">
        <f t="shared" si="65"/>
        <v>300</v>
      </c>
      <c r="T159">
        <f t="shared" si="65"/>
        <v>50</v>
      </c>
    </row>
    <row r="160" spans="1:20">
      <c r="A160" s="1">
        <v>336</v>
      </c>
      <c r="B160" s="1" t="str">
        <f t="shared" si="66"/>
        <v>祖玛卫士枪头目</v>
      </c>
      <c r="C160" s="1" t="str">
        <f t="shared" si="67"/>
        <v>祖玛寺庙</v>
      </c>
      <c r="D160">
        <f t="shared" ref="D160:E164" si="68">ROUND(D48*1.2,0)</f>
        <v>24</v>
      </c>
      <c r="E160">
        <f t="shared" si="68"/>
        <v>38</v>
      </c>
      <c r="F160">
        <f t="shared" ref="F160:I164" si="69">ROUND(F48*1.5,0)</f>
        <v>0</v>
      </c>
      <c r="G160">
        <f t="shared" si="69"/>
        <v>0</v>
      </c>
      <c r="H160">
        <f t="shared" si="69"/>
        <v>0</v>
      </c>
      <c r="I160">
        <f t="shared" si="69"/>
        <v>0</v>
      </c>
      <c r="J160">
        <f t="shared" ref="J160:M164" si="70">J48</f>
        <v>12</v>
      </c>
      <c r="K160">
        <f t="shared" si="70"/>
        <v>12</v>
      </c>
      <c r="L160">
        <f t="shared" si="70"/>
        <v>12</v>
      </c>
      <c r="M160">
        <f t="shared" si="70"/>
        <v>12</v>
      </c>
      <c r="N160">
        <f t="shared" si="64"/>
        <v>790</v>
      </c>
      <c r="O160">
        <f t="shared" ref="O160:T164" si="71">O48</f>
        <v>0</v>
      </c>
      <c r="P160">
        <f t="shared" si="71"/>
        <v>15</v>
      </c>
      <c r="Q160">
        <f t="shared" si="71"/>
        <v>17</v>
      </c>
      <c r="R160">
        <f t="shared" si="71"/>
        <v>75</v>
      </c>
      <c r="S160">
        <f t="shared" si="71"/>
        <v>300</v>
      </c>
      <c r="T160">
        <f t="shared" si="71"/>
        <v>50</v>
      </c>
    </row>
    <row r="161" spans="1:20">
      <c r="A161" s="1">
        <v>337</v>
      </c>
      <c r="B161" s="1" t="str">
        <f t="shared" si="66"/>
        <v>祖玛卫士锤头目</v>
      </c>
      <c r="C161" s="1" t="str">
        <f t="shared" si="67"/>
        <v>祖玛寺庙</v>
      </c>
      <c r="D161">
        <f t="shared" si="68"/>
        <v>26</v>
      </c>
      <c r="E161">
        <f t="shared" si="68"/>
        <v>41</v>
      </c>
      <c r="F161">
        <f t="shared" si="69"/>
        <v>0</v>
      </c>
      <c r="G161">
        <f t="shared" si="69"/>
        <v>0</v>
      </c>
      <c r="H161">
        <f t="shared" si="69"/>
        <v>0</v>
      </c>
      <c r="I161">
        <f t="shared" si="69"/>
        <v>0</v>
      </c>
      <c r="J161">
        <f t="shared" si="70"/>
        <v>15</v>
      </c>
      <c r="K161">
        <f t="shared" si="70"/>
        <v>15</v>
      </c>
      <c r="L161">
        <f t="shared" si="70"/>
        <v>15</v>
      </c>
      <c r="M161">
        <f t="shared" si="70"/>
        <v>15</v>
      </c>
      <c r="N161">
        <f t="shared" si="64"/>
        <v>790</v>
      </c>
      <c r="O161">
        <f t="shared" si="71"/>
        <v>0</v>
      </c>
      <c r="P161">
        <f t="shared" si="71"/>
        <v>15</v>
      </c>
      <c r="Q161">
        <f t="shared" si="71"/>
        <v>17</v>
      </c>
      <c r="R161">
        <f t="shared" si="71"/>
        <v>75</v>
      </c>
      <c r="S161">
        <f t="shared" si="71"/>
        <v>300</v>
      </c>
      <c r="T161">
        <f t="shared" si="71"/>
        <v>50</v>
      </c>
    </row>
    <row r="162" spans="1:20">
      <c r="A162" s="1">
        <v>341</v>
      </c>
      <c r="B162" s="1" t="str">
        <f t="shared" si="66"/>
        <v>角蝇巢穴头目</v>
      </c>
      <c r="C162" s="1" t="str">
        <f t="shared" si="67"/>
        <v>祖玛寺庙</v>
      </c>
      <c r="D162">
        <f t="shared" si="68"/>
        <v>0</v>
      </c>
      <c r="E162">
        <f t="shared" si="68"/>
        <v>0</v>
      </c>
      <c r="F162">
        <f t="shared" si="69"/>
        <v>0</v>
      </c>
      <c r="G162">
        <f t="shared" si="69"/>
        <v>0</v>
      </c>
      <c r="H162">
        <f t="shared" si="69"/>
        <v>0</v>
      </c>
      <c r="I162">
        <f t="shared" si="69"/>
        <v>0</v>
      </c>
      <c r="J162">
        <f t="shared" si="70"/>
        <v>0</v>
      </c>
      <c r="K162">
        <f t="shared" si="70"/>
        <v>0</v>
      </c>
      <c r="L162">
        <f t="shared" si="70"/>
        <v>6</v>
      </c>
      <c r="M162">
        <f t="shared" si="70"/>
        <v>6</v>
      </c>
      <c r="N162">
        <f t="shared" si="64"/>
        <v>320</v>
      </c>
      <c r="O162">
        <f t="shared" si="71"/>
        <v>0</v>
      </c>
      <c r="P162">
        <f t="shared" si="71"/>
        <v>1</v>
      </c>
      <c r="Q162">
        <f t="shared" si="71"/>
        <v>1</v>
      </c>
      <c r="R162">
        <f t="shared" si="71"/>
        <v>75</v>
      </c>
      <c r="S162">
        <f t="shared" si="71"/>
        <v>300</v>
      </c>
      <c r="T162">
        <f t="shared" si="71"/>
        <v>50</v>
      </c>
    </row>
    <row r="163" spans="1:20">
      <c r="A163" s="1">
        <v>339</v>
      </c>
      <c r="B163" s="1" t="str">
        <f t="shared" si="66"/>
        <v>角蝇头目</v>
      </c>
      <c r="C163" s="1" t="str">
        <f t="shared" si="67"/>
        <v>祖玛寺庙</v>
      </c>
      <c r="D163">
        <f t="shared" si="68"/>
        <v>0</v>
      </c>
      <c r="E163">
        <f t="shared" si="68"/>
        <v>26</v>
      </c>
      <c r="F163">
        <f t="shared" si="69"/>
        <v>0</v>
      </c>
      <c r="G163">
        <f t="shared" si="69"/>
        <v>0</v>
      </c>
      <c r="H163">
        <f t="shared" si="69"/>
        <v>0</v>
      </c>
      <c r="I163">
        <f t="shared" si="69"/>
        <v>0</v>
      </c>
      <c r="J163">
        <f t="shared" si="70"/>
        <v>0</v>
      </c>
      <c r="K163">
        <f t="shared" si="70"/>
        <v>0</v>
      </c>
      <c r="L163">
        <f t="shared" si="70"/>
        <v>0</v>
      </c>
      <c r="M163">
        <f t="shared" si="70"/>
        <v>0</v>
      </c>
      <c r="N163">
        <v>5</v>
      </c>
      <c r="O163">
        <f t="shared" si="71"/>
        <v>0</v>
      </c>
      <c r="P163">
        <f t="shared" si="71"/>
        <v>18</v>
      </c>
      <c r="Q163">
        <f t="shared" si="71"/>
        <v>5</v>
      </c>
      <c r="R163">
        <f t="shared" si="71"/>
        <v>75</v>
      </c>
      <c r="S163">
        <f t="shared" si="71"/>
        <v>300</v>
      </c>
      <c r="T163">
        <f t="shared" si="71"/>
        <v>50</v>
      </c>
    </row>
    <row r="164" spans="1:20">
      <c r="A164" s="1">
        <v>340</v>
      </c>
      <c r="B164" s="1" t="str">
        <f t="shared" si="66"/>
        <v>楔蛾头目</v>
      </c>
      <c r="C164" s="1" t="str">
        <f t="shared" si="67"/>
        <v>祖玛寺庙</v>
      </c>
      <c r="D164">
        <f t="shared" si="68"/>
        <v>16</v>
      </c>
      <c r="E164">
        <f t="shared" si="68"/>
        <v>22</v>
      </c>
      <c r="F164">
        <f t="shared" si="69"/>
        <v>0</v>
      </c>
      <c r="G164">
        <f t="shared" si="69"/>
        <v>0</v>
      </c>
      <c r="H164">
        <f t="shared" si="69"/>
        <v>0</v>
      </c>
      <c r="I164">
        <f t="shared" si="69"/>
        <v>0</v>
      </c>
      <c r="J164">
        <f t="shared" si="70"/>
        <v>0</v>
      </c>
      <c r="K164">
        <f t="shared" si="70"/>
        <v>0</v>
      </c>
      <c r="L164">
        <f t="shared" si="70"/>
        <v>5</v>
      </c>
      <c r="M164">
        <f t="shared" si="70"/>
        <v>5</v>
      </c>
      <c r="N164">
        <f t="shared" ref="N164:N171" si="72">ROUND(N52*1.6,-1)</f>
        <v>350</v>
      </c>
      <c r="O164">
        <f t="shared" si="71"/>
        <v>0</v>
      </c>
      <c r="P164">
        <f t="shared" si="71"/>
        <v>15</v>
      </c>
      <c r="Q164">
        <f t="shared" si="71"/>
        <v>17</v>
      </c>
      <c r="R164">
        <f t="shared" si="71"/>
        <v>75</v>
      </c>
      <c r="S164">
        <f t="shared" si="71"/>
        <v>300</v>
      </c>
      <c r="T164">
        <f t="shared" si="71"/>
        <v>50</v>
      </c>
    </row>
    <row r="165" spans="1:20">
      <c r="A165" s="1">
        <v>342</v>
      </c>
      <c r="B165" s="1" t="str">
        <f t="shared" si="66"/>
        <v>鹰卫头目</v>
      </c>
      <c r="C165" s="1" t="str">
        <f t="shared" si="67"/>
        <v>赤月峡谷</v>
      </c>
      <c r="D165">
        <f t="shared" ref="D165:E165" si="73">ROUND(D53*1.2,0)</f>
        <v>36</v>
      </c>
      <c r="E165">
        <f t="shared" si="73"/>
        <v>60</v>
      </c>
      <c r="F165">
        <f t="shared" ref="F165:I165" si="74">ROUND(F53*1.5,0)</f>
        <v>0</v>
      </c>
      <c r="G165">
        <f t="shared" si="74"/>
        <v>0</v>
      </c>
      <c r="H165">
        <f t="shared" si="74"/>
        <v>0</v>
      </c>
      <c r="I165">
        <f t="shared" si="74"/>
        <v>0</v>
      </c>
      <c r="J165">
        <f t="shared" ref="J165:M165" si="75">J53</f>
        <v>15</v>
      </c>
      <c r="K165">
        <f t="shared" si="75"/>
        <v>15</v>
      </c>
      <c r="L165">
        <f t="shared" si="75"/>
        <v>18</v>
      </c>
      <c r="M165">
        <f t="shared" si="75"/>
        <v>18</v>
      </c>
      <c r="N165">
        <f t="shared" si="72"/>
        <v>2400</v>
      </c>
      <c r="O165">
        <f t="shared" ref="O165:T165" si="76">O53</f>
        <v>0</v>
      </c>
      <c r="P165">
        <f t="shared" si="76"/>
        <v>15</v>
      </c>
      <c r="Q165">
        <f t="shared" si="76"/>
        <v>20</v>
      </c>
      <c r="R165">
        <f t="shared" si="76"/>
        <v>75</v>
      </c>
      <c r="S165">
        <f t="shared" si="76"/>
        <v>300</v>
      </c>
      <c r="T165">
        <f t="shared" si="76"/>
        <v>50</v>
      </c>
    </row>
    <row r="166" spans="1:20">
      <c r="A166" s="1">
        <v>343</v>
      </c>
      <c r="B166" s="1" t="str">
        <f t="shared" si="66"/>
        <v>月魔蜘蛛头目</v>
      </c>
      <c r="C166" s="1" t="str">
        <f t="shared" si="67"/>
        <v>赤月峡谷</v>
      </c>
      <c r="D166">
        <f t="shared" ref="D166:E166" si="77">ROUND(D54*1.2,0)</f>
        <v>32</v>
      </c>
      <c r="E166">
        <f t="shared" si="77"/>
        <v>32</v>
      </c>
      <c r="F166">
        <f t="shared" ref="F166:I166" si="78">ROUND(F54*1.5,0)</f>
        <v>0</v>
      </c>
      <c r="G166">
        <f t="shared" si="78"/>
        <v>0</v>
      </c>
      <c r="H166">
        <f t="shared" si="78"/>
        <v>0</v>
      </c>
      <c r="I166">
        <f t="shared" si="78"/>
        <v>0</v>
      </c>
      <c r="J166">
        <f t="shared" ref="J166:M166" si="79">J54</f>
        <v>12</v>
      </c>
      <c r="K166">
        <f t="shared" si="79"/>
        <v>12</v>
      </c>
      <c r="L166">
        <f t="shared" si="79"/>
        <v>28</v>
      </c>
      <c r="M166">
        <f t="shared" si="79"/>
        <v>28</v>
      </c>
      <c r="N166">
        <f t="shared" si="72"/>
        <v>1360</v>
      </c>
      <c r="O166">
        <f t="shared" ref="O166:T166" si="80">O54</f>
        <v>0</v>
      </c>
      <c r="P166">
        <f t="shared" si="80"/>
        <v>50</v>
      </c>
      <c r="Q166">
        <f t="shared" si="80"/>
        <v>20</v>
      </c>
      <c r="R166">
        <f t="shared" si="80"/>
        <v>75</v>
      </c>
      <c r="S166">
        <f t="shared" si="80"/>
        <v>300</v>
      </c>
      <c r="T166">
        <f t="shared" si="80"/>
        <v>50</v>
      </c>
    </row>
    <row r="167" spans="1:20">
      <c r="A167" s="1">
        <v>344</v>
      </c>
      <c r="B167" s="1" t="str">
        <f t="shared" si="66"/>
        <v>天狼蜘蛛头目</v>
      </c>
      <c r="C167" s="1" t="str">
        <f t="shared" si="67"/>
        <v>赤月峡谷</v>
      </c>
      <c r="D167">
        <f t="shared" ref="D167:E167" si="81">ROUND(D55*1.2,0)</f>
        <v>26</v>
      </c>
      <c r="E167">
        <f t="shared" si="81"/>
        <v>41</v>
      </c>
      <c r="F167">
        <f t="shared" ref="F167:I167" si="82">ROUND(F55*1.5,0)</f>
        <v>0</v>
      </c>
      <c r="G167">
        <f t="shared" si="82"/>
        <v>0</v>
      </c>
      <c r="H167">
        <f t="shared" si="82"/>
        <v>0</v>
      </c>
      <c r="I167">
        <f t="shared" si="82"/>
        <v>0</v>
      </c>
      <c r="J167">
        <f t="shared" ref="J167:M167" si="83">J55</f>
        <v>8</v>
      </c>
      <c r="K167">
        <f t="shared" si="83"/>
        <v>8</v>
      </c>
      <c r="L167">
        <f t="shared" si="83"/>
        <v>20</v>
      </c>
      <c r="M167">
        <f t="shared" si="83"/>
        <v>20</v>
      </c>
      <c r="N167">
        <f t="shared" si="72"/>
        <v>800</v>
      </c>
      <c r="O167">
        <f t="shared" ref="O167:T167" si="84">O55</f>
        <v>0</v>
      </c>
      <c r="P167">
        <f t="shared" si="84"/>
        <v>15</v>
      </c>
      <c r="Q167">
        <f t="shared" si="84"/>
        <v>17</v>
      </c>
      <c r="R167">
        <f t="shared" si="84"/>
        <v>75</v>
      </c>
      <c r="S167">
        <f t="shared" si="84"/>
        <v>300</v>
      </c>
      <c r="T167">
        <f t="shared" si="84"/>
        <v>50</v>
      </c>
    </row>
    <row r="168" spans="1:20">
      <c r="A168" s="1">
        <v>345</v>
      </c>
      <c r="B168" s="1" t="str">
        <f t="shared" si="66"/>
        <v>钢牙蜘蛛头目</v>
      </c>
      <c r="C168" s="1" t="str">
        <f t="shared" si="67"/>
        <v>赤月峡谷</v>
      </c>
      <c r="D168">
        <f t="shared" ref="D168:E168" si="85">ROUND(D56*1.2,0)</f>
        <v>42</v>
      </c>
      <c r="E168">
        <f t="shared" si="85"/>
        <v>60</v>
      </c>
      <c r="F168">
        <f t="shared" ref="F168:I168" si="86">ROUND(F56*1.5,0)</f>
        <v>0</v>
      </c>
      <c r="G168">
        <f t="shared" si="86"/>
        <v>0</v>
      </c>
      <c r="H168">
        <f t="shared" si="86"/>
        <v>0</v>
      </c>
      <c r="I168">
        <f t="shared" si="86"/>
        <v>0</v>
      </c>
      <c r="J168">
        <f t="shared" ref="J168:M168" si="87">J56</f>
        <v>13</v>
      </c>
      <c r="K168">
        <f t="shared" si="87"/>
        <v>13</v>
      </c>
      <c r="L168">
        <f t="shared" si="87"/>
        <v>33</v>
      </c>
      <c r="M168">
        <f t="shared" si="87"/>
        <v>33</v>
      </c>
      <c r="N168">
        <f t="shared" si="72"/>
        <v>1280</v>
      </c>
      <c r="O168">
        <f t="shared" ref="O168:T168" si="88">O56</f>
        <v>0</v>
      </c>
      <c r="P168">
        <f t="shared" si="88"/>
        <v>20</v>
      </c>
      <c r="Q168">
        <f t="shared" si="88"/>
        <v>17</v>
      </c>
      <c r="R168">
        <f t="shared" si="88"/>
        <v>75</v>
      </c>
      <c r="S168">
        <f t="shared" si="88"/>
        <v>300</v>
      </c>
      <c r="T168">
        <f t="shared" si="88"/>
        <v>50</v>
      </c>
    </row>
    <row r="169" spans="1:20">
      <c r="A169" s="1">
        <v>346</v>
      </c>
      <c r="B169" s="1" t="str">
        <f t="shared" si="66"/>
        <v>花吻蜘蛛头目</v>
      </c>
      <c r="C169" s="1" t="str">
        <f t="shared" si="67"/>
        <v>赤月峡谷</v>
      </c>
      <c r="D169">
        <f t="shared" ref="D169:E169" si="89">ROUND(D57*1.2,0)</f>
        <v>24</v>
      </c>
      <c r="E169">
        <f t="shared" si="89"/>
        <v>72</v>
      </c>
      <c r="F169">
        <f t="shared" ref="F169:I169" si="90">ROUND(F57*1.5,0)</f>
        <v>0</v>
      </c>
      <c r="G169">
        <f t="shared" si="90"/>
        <v>0</v>
      </c>
      <c r="H169">
        <f t="shared" si="90"/>
        <v>0</v>
      </c>
      <c r="I169">
        <f t="shared" si="90"/>
        <v>0</v>
      </c>
      <c r="J169">
        <f t="shared" ref="J169:M169" si="91">J57</f>
        <v>12</v>
      </c>
      <c r="K169">
        <f t="shared" si="91"/>
        <v>12</v>
      </c>
      <c r="L169">
        <f t="shared" si="91"/>
        <v>27</v>
      </c>
      <c r="M169">
        <f t="shared" si="91"/>
        <v>27</v>
      </c>
      <c r="N169">
        <f t="shared" si="72"/>
        <v>1200</v>
      </c>
      <c r="O169">
        <f t="shared" ref="O169:T169" si="92">O57</f>
        <v>0</v>
      </c>
      <c r="P169">
        <f t="shared" si="92"/>
        <v>17</v>
      </c>
      <c r="Q169">
        <f t="shared" si="92"/>
        <v>25</v>
      </c>
      <c r="R169">
        <f t="shared" si="92"/>
        <v>75</v>
      </c>
      <c r="S169">
        <f t="shared" si="92"/>
        <v>300</v>
      </c>
      <c r="T169">
        <f t="shared" si="92"/>
        <v>50</v>
      </c>
    </row>
    <row r="170" spans="1:20">
      <c r="A170" s="1">
        <v>347</v>
      </c>
      <c r="B170" s="1" t="str">
        <f t="shared" si="66"/>
        <v>黑锷蜘蛛头目</v>
      </c>
      <c r="C170" s="1" t="str">
        <f t="shared" si="67"/>
        <v>赤月峡谷</v>
      </c>
      <c r="D170">
        <f t="shared" ref="D170:E170" si="93">ROUND(D58*1.2,0)</f>
        <v>18</v>
      </c>
      <c r="E170">
        <f t="shared" si="93"/>
        <v>90</v>
      </c>
      <c r="F170">
        <f t="shared" ref="F170:I170" si="94">ROUND(F58*1.5,0)</f>
        <v>0</v>
      </c>
      <c r="G170">
        <f t="shared" si="94"/>
        <v>0</v>
      </c>
      <c r="H170">
        <f t="shared" si="94"/>
        <v>0</v>
      </c>
      <c r="I170">
        <f t="shared" si="94"/>
        <v>0</v>
      </c>
      <c r="J170">
        <f t="shared" ref="J170:M170" si="95">J58</f>
        <v>11</v>
      </c>
      <c r="K170">
        <f t="shared" si="95"/>
        <v>11</v>
      </c>
      <c r="L170">
        <f t="shared" si="95"/>
        <v>30</v>
      </c>
      <c r="M170">
        <f t="shared" si="95"/>
        <v>30</v>
      </c>
      <c r="N170">
        <f t="shared" si="72"/>
        <v>1920</v>
      </c>
      <c r="O170">
        <f t="shared" ref="O170:T170" si="96">O58</f>
        <v>0</v>
      </c>
      <c r="P170">
        <f t="shared" si="96"/>
        <v>17</v>
      </c>
      <c r="Q170">
        <f t="shared" si="96"/>
        <v>17</v>
      </c>
      <c r="R170">
        <f t="shared" si="96"/>
        <v>75</v>
      </c>
      <c r="S170">
        <f t="shared" si="96"/>
        <v>300</v>
      </c>
      <c r="T170">
        <f t="shared" si="96"/>
        <v>50</v>
      </c>
    </row>
    <row r="171" spans="1:20">
      <c r="A171" s="1">
        <v>348</v>
      </c>
      <c r="B171" s="1" t="str">
        <f t="shared" si="66"/>
        <v>幻影蜘蛛头目</v>
      </c>
      <c r="C171" s="1" t="str">
        <f t="shared" si="67"/>
        <v>赤月峡谷</v>
      </c>
      <c r="D171">
        <f t="shared" ref="D171:E171" si="97">ROUND(D59*1.2,0)</f>
        <v>0</v>
      </c>
      <c r="E171">
        <f t="shared" si="97"/>
        <v>0</v>
      </c>
      <c r="F171">
        <f t="shared" ref="F171:I171" si="98">ROUND(F59*1.5,0)</f>
        <v>0</v>
      </c>
      <c r="G171">
        <f t="shared" si="98"/>
        <v>0</v>
      </c>
      <c r="H171">
        <f t="shared" si="98"/>
        <v>0</v>
      </c>
      <c r="I171">
        <f t="shared" si="98"/>
        <v>0</v>
      </c>
      <c r="J171">
        <f t="shared" ref="J171:M171" si="99">J59</f>
        <v>10</v>
      </c>
      <c r="K171">
        <f t="shared" si="99"/>
        <v>10</v>
      </c>
      <c r="L171">
        <f t="shared" si="99"/>
        <v>23</v>
      </c>
      <c r="M171">
        <f t="shared" si="99"/>
        <v>23</v>
      </c>
      <c r="N171">
        <f t="shared" si="72"/>
        <v>1920</v>
      </c>
      <c r="O171">
        <f t="shared" ref="O171:T171" si="100">O59</f>
        <v>0</v>
      </c>
      <c r="P171">
        <f t="shared" si="100"/>
        <v>1</v>
      </c>
      <c r="Q171">
        <f t="shared" si="100"/>
        <v>1</v>
      </c>
      <c r="R171">
        <f t="shared" si="100"/>
        <v>75</v>
      </c>
      <c r="S171">
        <f t="shared" si="100"/>
        <v>300</v>
      </c>
      <c r="T171">
        <f t="shared" si="100"/>
        <v>50</v>
      </c>
    </row>
    <row r="172" spans="1:20">
      <c r="A172" s="1">
        <v>349</v>
      </c>
      <c r="B172" s="1" t="str">
        <f t="shared" si="66"/>
        <v>爆裂蜘蛛头目</v>
      </c>
      <c r="C172" s="1" t="str">
        <f t="shared" si="67"/>
        <v>赤月峡谷</v>
      </c>
      <c r="D172">
        <f t="shared" ref="D172:E172" si="101">ROUND(D60*1.2,0)</f>
        <v>24</v>
      </c>
      <c r="E172">
        <f t="shared" si="101"/>
        <v>24</v>
      </c>
      <c r="F172">
        <f t="shared" ref="F172:I172" si="102">ROUND(F60*1.5,0)</f>
        <v>0</v>
      </c>
      <c r="G172">
        <f t="shared" si="102"/>
        <v>0</v>
      </c>
      <c r="H172">
        <f t="shared" si="102"/>
        <v>0</v>
      </c>
      <c r="I172">
        <f t="shared" si="102"/>
        <v>0</v>
      </c>
      <c r="J172">
        <f t="shared" ref="J172:M172" si="103">J60</f>
        <v>0</v>
      </c>
      <c r="K172">
        <f t="shared" si="103"/>
        <v>0</v>
      </c>
      <c r="L172">
        <f t="shared" si="103"/>
        <v>0</v>
      </c>
      <c r="M172">
        <f t="shared" si="103"/>
        <v>0</v>
      </c>
      <c r="N172">
        <f>ROUND(N60*1.6,0)</f>
        <v>16</v>
      </c>
      <c r="O172">
        <f t="shared" ref="O172:T172" si="104">O60</f>
        <v>0</v>
      </c>
      <c r="P172">
        <f t="shared" si="104"/>
        <v>30</v>
      </c>
      <c r="Q172">
        <f t="shared" si="104"/>
        <v>30</v>
      </c>
      <c r="R172">
        <f t="shared" si="104"/>
        <v>75</v>
      </c>
      <c r="S172">
        <f t="shared" si="104"/>
        <v>300</v>
      </c>
      <c r="T172">
        <f t="shared" si="104"/>
        <v>50</v>
      </c>
    </row>
    <row r="173" spans="1:20">
      <c r="A173" s="1">
        <v>350</v>
      </c>
      <c r="B173" s="1" t="str">
        <f t="shared" si="66"/>
        <v>血巨人头目</v>
      </c>
      <c r="C173" s="1" t="str">
        <f t="shared" si="67"/>
        <v>赤月峡谷</v>
      </c>
      <c r="D173">
        <f t="shared" ref="D173:E173" si="105">ROUND(D61*1.2,0)</f>
        <v>42</v>
      </c>
      <c r="E173">
        <f t="shared" si="105"/>
        <v>84</v>
      </c>
      <c r="F173">
        <f t="shared" ref="F173:I173" si="106">ROUND(F61*1.5,0)</f>
        <v>0</v>
      </c>
      <c r="G173">
        <f t="shared" si="106"/>
        <v>0</v>
      </c>
      <c r="H173">
        <f t="shared" si="106"/>
        <v>0</v>
      </c>
      <c r="I173">
        <f t="shared" si="106"/>
        <v>0</v>
      </c>
      <c r="J173">
        <f t="shared" ref="J173:M173" si="107">J61</f>
        <v>15</v>
      </c>
      <c r="K173">
        <f t="shared" si="107"/>
        <v>15</v>
      </c>
      <c r="L173">
        <f t="shared" si="107"/>
        <v>30</v>
      </c>
      <c r="M173">
        <f t="shared" si="107"/>
        <v>30</v>
      </c>
      <c r="N173">
        <f>ROUND(N61*1.6,-1)</f>
        <v>1920</v>
      </c>
      <c r="O173">
        <f t="shared" ref="O173:T173" si="108">O61</f>
        <v>0</v>
      </c>
      <c r="P173">
        <f t="shared" si="108"/>
        <v>17</v>
      </c>
      <c r="Q173">
        <f t="shared" si="108"/>
        <v>20</v>
      </c>
      <c r="R173">
        <f t="shared" si="108"/>
        <v>75</v>
      </c>
      <c r="S173">
        <f t="shared" si="108"/>
        <v>300</v>
      </c>
      <c r="T173">
        <f t="shared" si="108"/>
        <v>50</v>
      </c>
    </row>
    <row r="174" spans="1:20">
      <c r="A174" s="1">
        <v>351</v>
      </c>
      <c r="B174" s="1" t="str">
        <f t="shared" si="66"/>
        <v>血僵尸头目</v>
      </c>
      <c r="C174" s="1" t="str">
        <f t="shared" si="67"/>
        <v>赤月峡谷</v>
      </c>
      <c r="D174">
        <f t="shared" ref="D174:E175" si="109">ROUND(D62*1.2,0)</f>
        <v>42</v>
      </c>
      <c r="E174">
        <f t="shared" si="109"/>
        <v>60</v>
      </c>
      <c r="F174">
        <f t="shared" ref="F174:I175" si="110">ROUND(F62*1.5,0)</f>
        <v>0</v>
      </c>
      <c r="G174">
        <f t="shared" si="110"/>
        <v>0</v>
      </c>
      <c r="H174">
        <f t="shared" si="110"/>
        <v>0</v>
      </c>
      <c r="I174">
        <f t="shared" si="110"/>
        <v>0</v>
      </c>
      <c r="J174">
        <f t="shared" ref="J174:M175" si="111">J62</f>
        <v>18</v>
      </c>
      <c r="K174">
        <f t="shared" si="111"/>
        <v>18</v>
      </c>
      <c r="L174">
        <f t="shared" si="111"/>
        <v>30</v>
      </c>
      <c r="M174">
        <f t="shared" si="111"/>
        <v>30</v>
      </c>
      <c r="N174">
        <f>ROUND(N62*1.6,-1)</f>
        <v>1920</v>
      </c>
      <c r="O174">
        <f t="shared" ref="O174:T175" si="112">O62</f>
        <v>0</v>
      </c>
      <c r="P174">
        <f t="shared" si="112"/>
        <v>25</v>
      </c>
      <c r="Q174">
        <f t="shared" si="112"/>
        <v>10</v>
      </c>
      <c r="R174">
        <f t="shared" si="112"/>
        <v>75</v>
      </c>
      <c r="S174">
        <f t="shared" si="112"/>
        <v>300</v>
      </c>
      <c r="T174">
        <f t="shared" si="112"/>
        <v>50</v>
      </c>
    </row>
    <row r="175" spans="1:20">
      <c r="A175" s="1">
        <v>352</v>
      </c>
      <c r="B175" s="1" t="str">
        <f t="shared" si="66"/>
        <v>暴牙蜘蛛头目</v>
      </c>
      <c r="C175" s="1" t="str">
        <f t="shared" si="67"/>
        <v>赤月峡谷</v>
      </c>
      <c r="D175">
        <f t="shared" si="109"/>
        <v>26</v>
      </c>
      <c r="E175">
        <f t="shared" si="109"/>
        <v>41</v>
      </c>
      <c r="F175">
        <f t="shared" si="110"/>
        <v>0</v>
      </c>
      <c r="G175">
        <f t="shared" si="110"/>
        <v>0</v>
      </c>
      <c r="H175">
        <f t="shared" si="110"/>
        <v>0</v>
      </c>
      <c r="I175">
        <f t="shared" si="110"/>
        <v>0</v>
      </c>
      <c r="J175">
        <f t="shared" si="111"/>
        <v>12</v>
      </c>
      <c r="K175">
        <f t="shared" si="111"/>
        <v>12</v>
      </c>
      <c r="L175">
        <f t="shared" si="111"/>
        <v>30</v>
      </c>
      <c r="M175">
        <f t="shared" si="111"/>
        <v>30</v>
      </c>
      <c r="N175">
        <f>ROUND(N63*1.6,-1)</f>
        <v>800</v>
      </c>
      <c r="O175">
        <f t="shared" si="112"/>
        <v>0</v>
      </c>
      <c r="P175">
        <f t="shared" si="112"/>
        <v>17</v>
      </c>
      <c r="Q175">
        <f t="shared" si="112"/>
        <v>17</v>
      </c>
      <c r="R175">
        <f t="shared" si="112"/>
        <v>75</v>
      </c>
      <c r="S175">
        <f t="shared" si="112"/>
        <v>300</v>
      </c>
      <c r="T175">
        <f t="shared" si="112"/>
        <v>50</v>
      </c>
    </row>
    <row r="176" spans="1:20" s="48" customFormat="1">
      <c r="A176" s="47">
        <v>401</v>
      </c>
      <c r="B176" s="47" t="str">
        <f t="shared" ref="B176:B220" si="113">B8&amp;"散人精英"</f>
        <v>稻草人散人精英</v>
      </c>
      <c r="C176" s="47" t="str">
        <f t="shared" ref="C176:C215" si="114">C64</f>
        <v>边界村</v>
      </c>
      <c r="D176" s="48">
        <f t="shared" ref="D176:F195" si="115">ROUND(D8*1.5,0)</f>
        <v>2</v>
      </c>
      <c r="E176" s="48">
        <f t="shared" si="115"/>
        <v>3</v>
      </c>
      <c r="F176" s="48">
        <f t="shared" si="115"/>
        <v>0</v>
      </c>
      <c r="G176" s="48">
        <v>0</v>
      </c>
      <c r="H176" s="48">
        <f t="shared" ref="H176:I195" si="116">ROUND(H8*1.5,0)</f>
        <v>0</v>
      </c>
      <c r="I176" s="48">
        <f t="shared" si="116"/>
        <v>0</v>
      </c>
      <c r="J176" s="48">
        <f t="shared" ref="J176:K195" si="117">ROUND(J8*1.3,0)</f>
        <v>0</v>
      </c>
      <c r="K176" s="48">
        <f t="shared" si="117"/>
        <v>0</v>
      </c>
      <c r="L176" s="48">
        <f t="shared" ref="L176:M195" si="118">ROUND(L8*1.5+5,0)</f>
        <v>5</v>
      </c>
      <c r="M176" s="48">
        <f t="shared" si="118"/>
        <v>5</v>
      </c>
      <c r="N176" s="48">
        <f t="shared" ref="N176:T185" si="119">N8</f>
        <v>15</v>
      </c>
      <c r="O176" s="48">
        <f t="shared" si="119"/>
        <v>0</v>
      </c>
      <c r="P176" s="48">
        <f t="shared" si="119"/>
        <v>5</v>
      </c>
      <c r="Q176" s="48">
        <f t="shared" si="119"/>
        <v>10</v>
      </c>
      <c r="R176" s="48">
        <f t="shared" si="119"/>
        <v>75</v>
      </c>
      <c r="S176" s="48">
        <f t="shared" si="119"/>
        <v>300</v>
      </c>
      <c r="T176" s="48">
        <f t="shared" si="119"/>
        <v>50</v>
      </c>
    </row>
    <row r="177" spans="1:20" s="48" customFormat="1">
      <c r="A177" s="47">
        <v>402</v>
      </c>
      <c r="B177" s="47" t="str">
        <f t="shared" si="113"/>
        <v>钉耙猫散人精英</v>
      </c>
      <c r="C177" s="47" t="str">
        <f t="shared" si="114"/>
        <v>边界村</v>
      </c>
      <c r="D177" s="48">
        <f t="shared" si="115"/>
        <v>3</v>
      </c>
      <c r="E177" s="48">
        <f t="shared" si="115"/>
        <v>6</v>
      </c>
      <c r="F177" s="48">
        <f t="shared" si="115"/>
        <v>0</v>
      </c>
      <c r="G177" s="48">
        <v>0</v>
      </c>
      <c r="H177" s="48">
        <f t="shared" si="116"/>
        <v>0</v>
      </c>
      <c r="I177" s="48">
        <f t="shared" si="116"/>
        <v>0</v>
      </c>
      <c r="J177" s="48">
        <f t="shared" si="117"/>
        <v>0</v>
      </c>
      <c r="K177" s="48">
        <f t="shared" si="117"/>
        <v>0</v>
      </c>
      <c r="L177" s="48">
        <f t="shared" si="118"/>
        <v>5</v>
      </c>
      <c r="M177" s="48">
        <f t="shared" si="118"/>
        <v>5</v>
      </c>
      <c r="N177" s="48">
        <f t="shared" si="119"/>
        <v>23</v>
      </c>
      <c r="O177" s="48">
        <f t="shared" si="119"/>
        <v>0</v>
      </c>
      <c r="P177" s="48">
        <f t="shared" si="119"/>
        <v>5</v>
      </c>
      <c r="Q177" s="48">
        <f t="shared" si="119"/>
        <v>10</v>
      </c>
      <c r="R177" s="48">
        <f t="shared" si="119"/>
        <v>75</v>
      </c>
      <c r="S177" s="48">
        <f t="shared" si="119"/>
        <v>300</v>
      </c>
      <c r="T177" s="48">
        <f t="shared" si="119"/>
        <v>50</v>
      </c>
    </row>
    <row r="178" spans="1:20" s="48" customFormat="1">
      <c r="A178" s="47">
        <v>403</v>
      </c>
      <c r="B178" s="47" t="str">
        <f t="shared" si="113"/>
        <v>半兽人_BJC散人精英</v>
      </c>
      <c r="C178" s="47" t="str">
        <f t="shared" si="114"/>
        <v>边界村</v>
      </c>
      <c r="D178" s="48">
        <f t="shared" si="115"/>
        <v>5</v>
      </c>
      <c r="E178" s="48">
        <f t="shared" si="115"/>
        <v>11</v>
      </c>
      <c r="F178" s="48">
        <f t="shared" si="115"/>
        <v>0</v>
      </c>
      <c r="G178" s="48">
        <v>0</v>
      </c>
      <c r="H178" s="48">
        <f t="shared" si="116"/>
        <v>0</v>
      </c>
      <c r="I178" s="48">
        <f t="shared" si="116"/>
        <v>0</v>
      </c>
      <c r="J178" s="48">
        <f t="shared" si="117"/>
        <v>1</v>
      </c>
      <c r="K178" s="48">
        <f t="shared" si="117"/>
        <v>1</v>
      </c>
      <c r="L178" s="48">
        <f t="shared" si="118"/>
        <v>5</v>
      </c>
      <c r="M178" s="48">
        <f t="shared" si="118"/>
        <v>5</v>
      </c>
      <c r="N178" s="48">
        <f t="shared" si="119"/>
        <v>30</v>
      </c>
      <c r="O178" s="48">
        <f t="shared" si="119"/>
        <v>0</v>
      </c>
      <c r="P178" s="48">
        <f t="shared" si="119"/>
        <v>6</v>
      </c>
      <c r="Q178" s="48">
        <f t="shared" si="119"/>
        <v>11</v>
      </c>
      <c r="R178" s="48">
        <f t="shared" si="119"/>
        <v>75</v>
      </c>
      <c r="S178" s="48">
        <f t="shared" si="119"/>
        <v>300</v>
      </c>
      <c r="T178" s="48">
        <f t="shared" si="119"/>
        <v>50</v>
      </c>
    </row>
    <row r="179" spans="1:20" s="48" customFormat="1">
      <c r="A179" s="47">
        <v>404</v>
      </c>
      <c r="B179" s="47" t="str">
        <f t="shared" si="113"/>
        <v>半兽人战士散人精英</v>
      </c>
      <c r="C179" s="47" t="str">
        <f t="shared" si="114"/>
        <v>比奇省</v>
      </c>
      <c r="D179" s="48">
        <f t="shared" si="115"/>
        <v>8</v>
      </c>
      <c r="E179" s="48">
        <f t="shared" si="115"/>
        <v>18</v>
      </c>
      <c r="F179" s="48">
        <f t="shared" si="115"/>
        <v>0</v>
      </c>
      <c r="G179" s="48">
        <v>0</v>
      </c>
      <c r="H179" s="48">
        <f t="shared" si="116"/>
        <v>0</v>
      </c>
      <c r="I179" s="48">
        <f t="shared" si="116"/>
        <v>0</v>
      </c>
      <c r="J179" s="48">
        <f t="shared" si="117"/>
        <v>4</v>
      </c>
      <c r="K179" s="48">
        <f t="shared" si="117"/>
        <v>4</v>
      </c>
      <c r="L179" s="48">
        <f t="shared" si="118"/>
        <v>7</v>
      </c>
      <c r="M179" s="48">
        <f t="shared" si="118"/>
        <v>7</v>
      </c>
      <c r="N179" s="48">
        <f t="shared" si="119"/>
        <v>100</v>
      </c>
      <c r="O179" s="48">
        <f t="shared" si="119"/>
        <v>0</v>
      </c>
      <c r="P179" s="48">
        <f t="shared" si="119"/>
        <v>10</v>
      </c>
      <c r="Q179" s="48">
        <f t="shared" si="119"/>
        <v>15</v>
      </c>
      <c r="R179" s="48">
        <f t="shared" si="119"/>
        <v>75</v>
      </c>
      <c r="S179" s="48">
        <f t="shared" si="119"/>
        <v>300</v>
      </c>
      <c r="T179" s="48">
        <f t="shared" si="119"/>
        <v>50</v>
      </c>
    </row>
    <row r="180" spans="1:20" s="48" customFormat="1">
      <c r="A180" s="47">
        <v>4041</v>
      </c>
      <c r="B180" s="47" t="str">
        <f t="shared" si="113"/>
        <v>半兽人战士_BJC散人精英</v>
      </c>
      <c r="C180" s="47" t="str">
        <f t="shared" si="114"/>
        <v>边界村</v>
      </c>
      <c r="D180" s="48">
        <f t="shared" si="115"/>
        <v>6</v>
      </c>
      <c r="E180" s="48">
        <f t="shared" si="115"/>
        <v>14</v>
      </c>
      <c r="F180" s="48">
        <f t="shared" si="115"/>
        <v>0</v>
      </c>
      <c r="G180" s="48">
        <v>0</v>
      </c>
      <c r="H180" s="48">
        <f t="shared" si="116"/>
        <v>0</v>
      </c>
      <c r="I180" s="48">
        <f t="shared" si="116"/>
        <v>0</v>
      </c>
      <c r="J180" s="48">
        <f t="shared" si="117"/>
        <v>1</v>
      </c>
      <c r="K180" s="48">
        <f t="shared" si="117"/>
        <v>1</v>
      </c>
      <c r="L180" s="48">
        <f t="shared" si="118"/>
        <v>5</v>
      </c>
      <c r="M180" s="48">
        <f t="shared" si="118"/>
        <v>5</v>
      </c>
      <c r="N180" s="48">
        <f t="shared" si="119"/>
        <v>35</v>
      </c>
      <c r="O180" s="48">
        <f t="shared" si="119"/>
        <v>0</v>
      </c>
      <c r="P180" s="48">
        <f t="shared" si="119"/>
        <v>10</v>
      </c>
      <c r="Q180" s="48">
        <f t="shared" si="119"/>
        <v>12</v>
      </c>
      <c r="R180" s="48">
        <f t="shared" si="119"/>
        <v>75</v>
      </c>
      <c r="S180" s="48">
        <f t="shared" si="119"/>
        <v>300</v>
      </c>
      <c r="T180" s="48">
        <f t="shared" si="119"/>
        <v>50</v>
      </c>
    </row>
    <row r="181" spans="1:20" s="48" customFormat="1">
      <c r="A181" s="47">
        <v>4042</v>
      </c>
      <c r="B181" s="47" t="str">
        <f t="shared" si="113"/>
        <v>半兽人战士_BQS散人精英</v>
      </c>
      <c r="C181" s="47" t="str">
        <f t="shared" si="114"/>
        <v>比奇省</v>
      </c>
      <c r="D181" s="48">
        <f t="shared" si="115"/>
        <v>8</v>
      </c>
      <c r="E181" s="48">
        <f t="shared" si="115"/>
        <v>17</v>
      </c>
      <c r="F181" s="48">
        <f t="shared" si="115"/>
        <v>0</v>
      </c>
      <c r="G181" s="48">
        <v>0</v>
      </c>
      <c r="H181" s="48">
        <f t="shared" si="116"/>
        <v>0</v>
      </c>
      <c r="I181" s="48">
        <f t="shared" si="116"/>
        <v>0</v>
      </c>
      <c r="J181" s="48">
        <f t="shared" si="117"/>
        <v>1</v>
      </c>
      <c r="K181" s="48">
        <f t="shared" si="117"/>
        <v>1</v>
      </c>
      <c r="L181" s="48">
        <f t="shared" si="118"/>
        <v>5</v>
      </c>
      <c r="M181" s="48">
        <f t="shared" si="118"/>
        <v>5</v>
      </c>
      <c r="N181" s="48">
        <f t="shared" si="119"/>
        <v>45</v>
      </c>
      <c r="O181" s="48">
        <f t="shared" si="119"/>
        <v>0</v>
      </c>
      <c r="P181" s="48">
        <f t="shared" si="119"/>
        <v>10</v>
      </c>
      <c r="Q181" s="48">
        <f t="shared" si="119"/>
        <v>12</v>
      </c>
      <c r="R181" s="48">
        <f t="shared" si="119"/>
        <v>75</v>
      </c>
      <c r="S181" s="48">
        <f t="shared" si="119"/>
        <v>300</v>
      </c>
      <c r="T181" s="48">
        <f t="shared" si="119"/>
        <v>50</v>
      </c>
    </row>
    <row r="182" spans="1:20" s="48" customFormat="1">
      <c r="A182" s="47">
        <v>405</v>
      </c>
      <c r="B182" s="47" t="str">
        <f t="shared" si="113"/>
        <v>半兽人勇士散人精英</v>
      </c>
      <c r="C182" s="47" t="str">
        <f t="shared" si="114"/>
        <v>比奇省</v>
      </c>
      <c r="D182" s="48">
        <f t="shared" si="115"/>
        <v>23</v>
      </c>
      <c r="E182" s="48">
        <f t="shared" si="115"/>
        <v>48</v>
      </c>
      <c r="F182" s="48">
        <f t="shared" si="115"/>
        <v>0</v>
      </c>
      <c r="G182" s="48">
        <v>0</v>
      </c>
      <c r="H182" s="48">
        <f t="shared" si="116"/>
        <v>0</v>
      </c>
      <c r="I182" s="48">
        <f t="shared" si="116"/>
        <v>0</v>
      </c>
      <c r="J182" s="48">
        <f t="shared" si="117"/>
        <v>0</v>
      </c>
      <c r="K182" s="48">
        <f t="shared" si="117"/>
        <v>0</v>
      </c>
      <c r="L182" s="48">
        <f t="shared" si="118"/>
        <v>5</v>
      </c>
      <c r="M182" s="48">
        <f t="shared" si="118"/>
        <v>5</v>
      </c>
      <c r="N182" s="48">
        <f t="shared" si="119"/>
        <v>300</v>
      </c>
      <c r="O182" s="48">
        <f t="shared" si="119"/>
        <v>0</v>
      </c>
      <c r="P182" s="48">
        <f t="shared" si="119"/>
        <v>13</v>
      </c>
      <c r="Q182" s="48">
        <f t="shared" si="119"/>
        <v>15</v>
      </c>
      <c r="R182" s="48">
        <f t="shared" si="119"/>
        <v>75</v>
      </c>
      <c r="S182" s="48">
        <f t="shared" si="119"/>
        <v>300</v>
      </c>
      <c r="T182" s="48">
        <f t="shared" si="119"/>
        <v>50</v>
      </c>
    </row>
    <row r="183" spans="1:20" s="48" customFormat="1">
      <c r="A183" s="47">
        <v>4051</v>
      </c>
      <c r="B183" s="47" t="str">
        <f t="shared" si="113"/>
        <v>半兽人勇士_BJC散人精英</v>
      </c>
      <c r="C183" s="47" t="str">
        <f t="shared" si="114"/>
        <v>边界村</v>
      </c>
      <c r="D183" s="48">
        <f t="shared" si="115"/>
        <v>9</v>
      </c>
      <c r="E183" s="48">
        <f t="shared" si="115"/>
        <v>20</v>
      </c>
      <c r="F183" s="48">
        <f t="shared" si="115"/>
        <v>0</v>
      </c>
      <c r="G183" s="48">
        <v>0</v>
      </c>
      <c r="H183" s="48">
        <f t="shared" si="116"/>
        <v>0</v>
      </c>
      <c r="I183" s="48">
        <f t="shared" si="116"/>
        <v>0</v>
      </c>
      <c r="J183" s="48">
        <f t="shared" si="117"/>
        <v>3</v>
      </c>
      <c r="K183" s="48">
        <f t="shared" si="117"/>
        <v>3</v>
      </c>
      <c r="L183" s="48">
        <f t="shared" si="118"/>
        <v>7</v>
      </c>
      <c r="M183" s="48">
        <f t="shared" si="118"/>
        <v>7</v>
      </c>
      <c r="N183" s="48">
        <f t="shared" si="119"/>
        <v>65</v>
      </c>
      <c r="O183" s="48">
        <f t="shared" si="119"/>
        <v>0</v>
      </c>
      <c r="P183" s="48">
        <f t="shared" si="119"/>
        <v>13</v>
      </c>
      <c r="Q183" s="48">
        <f t="shared" si="119"/>
        <v>13</v>
      </c>
      <c r="R183" s="48">
        <f t="shared" si="119"/>
        <v>75</v>
      </c>
      <c r="S183" s="48">
        <f t="shared" si="119"/>
        <v>300</v>
      </c>
      <c r="T183" s="48">
        <f t="shared" si="119"/>
        <v>50</v>
      </c>
    </row>
    <row r="184" spans="1:20" s="48" customFormat="1">
      <c r="A184" s="47">
        <v>4052</v>
      </c>
      <c r="B184" s="47" t="str">
        <f t="shared" si="113"/>
        <v>半兽人勇士_BQS散人精英</v>
      </c>
      <c r="C184" s="47" t="str">
        <f t="shared" si="114"/>
        <v>比奇省</v>
      </c>
      <c r="D184" s="48">
        <f t="shared" si="115"/>
        <v>9</v>
      </c>
      <c r="E184" s="48">
        <f t="shared" si="115"/>
        <v>20</v>
      </c>
      <c r="F184" s="48">
        <f t="shared" si="115"/>
        <v>0</v>
      </c>
      <c r="G184" s="48">
        <v>0</v>
      </c>
      <c r="H184" s="48">
        <f t="shared" si="116"/>
        <v>0</v>
      </c>
      <c r="I184" s="48">
        <f t="shared" si="116"/>
        <v>0</v>
      </c>
      <c r="J184" s="48">
        <f t="shared" si="117"/>
        <v>3</v>
      </c>
      <c r="K184" s="48">
        <f t="shared" si="117"/>
        <v>3</v>
      </c>
      <c r="L184" s="48">
        <f t="shared" si="118"/>
        <v>7</v>
      </c>
      <c r="M184" s="48">
        <f t="shared" si="118"/>
        <v>7</v>
      </c>
      <c r="N184" s="48">
        <f t="shared" si="119"/>
        <v>65</v>
      </c>
      <c r="O184" s="48">
        <f t="shared" si="119"/>
        <v>0</v>
      </c>
      <c r="P184" s="48">
        <f t="shared" si="119"/>
        <v>13</v>
      </c>
      <c r="Q184" s="48">
        <f t="shared" si="119"/>
        <v>13</v>
      </c>
      <c r="R184" s="48">
        <f t="shared" si="119"/>
        <v>75</v>
      </c>
      <c r="S184" s="48">
        <f t="shared" si="119"/>
        <v>300</v>
      </c>
      <c r="T184" s="48">
        <f t="shared" si="119"/>
        <v>50</v>
      </c>
    </row>
    <row r="185" spans="1:20" s="48" customFormat="1">
      <c r="A185" s="47">
        <v>406</v>
      </c>
      <c r="B185" s="47" t="str">
        <f t="shared" si="113"/>
        <v>鹿散人精英</v>
      </c>
      <c r="C185" s="47" t="str">
        <f t="shared" si="114"/>
        <v>边界村</v>
      </c>
      <c r="D185" s="48">
        <f t="shared" si="115"/>
        <v>3</v>
      </c>
      <c r="E185" s="48">
        <f t="shared" si="115"/>
        <v>6</v>
      </c>
      <c r="F185" s="48">
        <f t="shared" si="115"/>
        <v>0</v>
      </c>
      <c r="G185" s="48">
        <v>0</v>
      </c>
      <c r="H185" s="48">
        <f t="shared" si="116"/>
        <v>0</v>
      </c>
      <c r="I185" s="48">
        <f t="shared" si="116"/>
        <v>0</v>
      </c>
      <c r="J185" s="48">
        <f t="shared" si="117"/>
        <v>0</v>
      </c>
      <c r="K185" s="48">
        <f t="shared" si="117"/>
        <v>0</v>
      </c>
      <c r="L185" s="48">
        <f t="shared" si="118"/>
        <v>5</v>
      </c>
      <c r="M185" s="48">
        <f t="shared" si="118"/>
        <v>5</v>
      </c>
      <c r="N185" s="48">
        <f t="shared" si="119"/>
        <v>15</v>
      </c>
      <c r="O185" s="48">
        <f t="shared" si="119"/>
        <v>0</v>
      </c>
      <c r="P185" s="48">
        <f t="shared" si="119"/>
        <v>12</v>
      </c>
      <c r="Q185" s="48">
        <f t="shared" si="119"/>
        <v>4</v>
      </c>
      <c r="R185" s="48">
        <f t="shared" si="119"/>
        <v>75</v>
      </c>
      <c r="S185" s="48">
        <f t="shared" si="119"/>
        <v>300</v>
      </c>
      <c r="T185" s="48">
        <f t="shared" si="119"/>
        <v>50</v>
      </c>
    </row>
    <row r="186" spans="1:20" s="48" customFormat="1">
      <c r="A186" s="47">
        <v>407</v>
      </c>
      <c r="B186" s="47" t="str">
        <f t="shared" si="113"/>
        <v>残肢僵尸散人精英</v>
      </c>
      <c r="C186" s="47" t="str">
        <f t="shared" si="114"/>
        <v>比奇矿区</v>
      </c>
      <c r="D186" s="48">
        <f t="shared" si="115"/>
        <v>8</v>
      </c>
      <c r="E186" s="48">
        <f t="shared" si="115"/>
        <v>18</v>
      </c>
      <c r="F186" s="48">
        <f t="shared" si="115"/>
        <v>0</v>
      </c>
      <c r="G186" s="48">
        <v>0</v>
      </c>
      <c r="H186" s="48">
        <f t="shared" si="116"/>
        <v>0</v>
      </c>
      <c r="I186" s="48">
        <f t="shared" si="116"/>
        <v>0</v>
      </c>
      <c r="J186" s="48">
        <f t="shared" si="117"/>
        <v>3</v>
      </c>
      <c r="K186" s="48">
        <f t="shared" si="117"/>
        <v>3</v>
      </c>
      <c r="L186" s="48">
        <f t="shared" si="118"/>
        <v>7</v>
      </c>
      <c r="M186" s="48">
        <f t="shared" si="118"/>
        <v>7</v>
      </c>
      <c r="N186" s="48">
        <f t="shared" ref="N186:T195" si="120">N18</f>
        <v>155</v>
      </c>
      <c r="O186" s="48">
        <f t="shared" si="120"/>
        <v>0</v>
      </c>
      <c r="P186" s="48">
        <f t="shared" si="120"/>
        <v>12</v>
      </c>
      <c r="Q186" s="48">
        <f t="shared" si="120"/>
        <v>15</v>
      </c>
      <c r="R186" s="48">
        <f t="shared" si="120"/>
        <v>75</v>
      </c>
      <c r="S186" s="48">
        <f t="shared" si="120"/>
        <v>300</v>
      </c>
      <c r="T186" s="48">
        <f t="shared" si="120"/>
        <v>50</v>
      </c>
    </row>
    <row r="187" spans="1:20" s="48" customFormat="1">
      <c r="A187" s="47">
        <v>408</v>
      </c>
      <c r="B187" s="47" t="str">
        <f t="shared" si="113"/>
        <v>直立僵尸散人精英</v>
      </c>
      <c r="C187" s="47" t="str">
        <f t="shared" si="114"/>
        <v>比奇矿区</v>
      </c>
      <c r="D187" s="48">
        <f t="shared" si="115"/>
        <v>8</v>
      </c>
      <c r="E187" s="48">
        <f t="shared" si="115"/>
        <v>23</v>
      </c>
      <c r="F187" s="48">
        <f t="shared" si="115"/>
        <v>0</v>
      </c>
      <c r="G187" s="48">
        <v>0</v>
      </c>
      <c r="H187" s="48">
        <f t="shared" si="116"/>
        <v>0</v>
      </c>
      <c r="I187" s="48">
        <f t="shared" si="116"/>
        <v>0</v>
      </c>
      <c r="J187" s="48">
        <f t="shared" si="117"/>
        <v>3</v>
      </c>
      <c r="K187" s="48">
        <f t="shared" si="117"/>
        <v>3</v>
      </c>
      <c r="L187" s="48">
        <f t="shared" si="118"/>
        <v>7</v>
      </c>
      <c r="M187" s="48">
        <f t="shared" si="118"/>
        <v>7</v>
      </c>
      <c r="N187" s="48">
        <f t="shared" si="120"/>
        <v>155</v>
      </c>
      <c r="O187" s="48">
        <f t="shared" si="120"/>
        <v>0</v>
      </c>
      <c r="P187" s="48">
        <f t="shared" si="120"/>
        <v>12</v>
      </c>
      <c r="Q187" s="48">
        <f t="shared" si="120"/>
        <v>15</v>
      </c>
      <c r="R187" s="48">
        <f t="shared" si="120"/>
        <v>75</v>
      </c>
      <c r="S187" s="48">
        <f t="shared" si="120"/>
        <v>300</v>
      </c>
      <c r="T187" s="48">
        <f t="shared" si="120"/>
        <v>50</v>
      </c>
    </row>
    <row r="188" spans="1:20" s="48" customFormat="1">
      <c r="A188" s="47">
        <v>409</v>
      </c>
      <c r="B188" s="47" t="str">
        <f t="shared" si="113"/>
        <v>和尚僵尸散人精英</v>
      </c>
      <c r="C188" s="47" t="str">
        <f t="shared" si="114"/>
        <v>比奇矿区</v>
      </c>
      <c r="D188" s="48">
        <f t="shared" si="115"/>
        <v>12</v>
      </c>
      <c r="E188" s="48">
        <f t="shared" si="115"/>
        <v>23</v>
      </c>
      <c r="F188" s="48">
        <f t="shared" si="115"/>
        <v>0</v>
      </c>
      <c r="G188" s="48">
        <v>0</v>
      </c>
      <c r="H188" s="48">
        <f t="shared" si="116"/>
        <v>0</v>
      </c>
      <c r="I188" s="48">
        <f t="shared" si="116"/>
        <v>0</v>
      </c>
      <c r="J188" s="48">
        <f t="shared" si="117"/>
        <v>3</v>
      </c>
      <c r="K188" s="48">
        <f t="shared" si="117"/>
        <v>3</v>
      </c>
      <c r="L188" s="48">
        <f t="shared" si="118"/>
        <v>7</v>
      </c>
      <c r="M188" s="48">
        <f t="shared" si="118"/>
        <v>7</v>
      </c>
      <c r="N188" s="48">
        <f t="shared" si="120"/>
        <v>155</v>
      </c>
      <c r="O188" s="48">
        <f t="shared" si="120"/>
        <v>0</v>
      </c>
      <c r="P188" s="48">
        <f t="shared" si="120"/>
        <v>12</v>
      </c>
      <c r="Q188" s="48">
        <f t="shared" si="120"/>
        <v>15</v>
      </c>
      <c r="R188" s="48">
        <f t="shared" si="120"/>
        <v>75</v>
      </c>
      <c r="S188" s="48">
        <f t="shared" si="120"/>
        <v>300</v>
      </c>
      <c r="T188" s="48">
        <f t="shared" si="120"/>
        <v>50</v>
      </c>
    </row>
    <row r="189" spans="1:20" s="48" customFormat="1">
      <c r="A189" s="47">
        <v>410</v>
      </c>
      <c r="B189" s="47" t="str">
        <f t="shared" si="113"/>
        <v>道士僵尸散人精英</v>
      </c>
      <c r="C189" s="47" t="str">
        <f t="shared" si="114"/>
        <v>比奇矿区</v>
      </c>
      <c r="D189" s="48">
        <f t="shared" si="115"/>
        <v>12</v>
      </c>
      <c r="E189" s="48">
        <f t="shared" si="115"/>
        <v>26</v>
      </c>
      <c r="F189" s="48">
        <f t="shared" si="115"/>
        <v>0</v>
      </c>
      <c r="G189" s="48">
        <v>0</v>
      </c>
      <c r="H189" s="48">
        <f t="shared" si="116"/>
        <v>0</v>
      </c>
      <c r="I189" s="48">
        <f t="shared" si="116"/>
        <v>0</v>
      </c>
      <c r="J189" s="48">
        <f t="shared" si="117"/>
        <v>3</v>
      </c>
      <c r="K189" s="48">
        <f t="shared" si="117"/>
        <v>3</v>
      </c>
      <c r="L189" s="48">
        <f t="shared" si="118"/>
        <v>8</v>
      </c>
      <c r="M189" s="48">
        <f t="shared" si="118"/>
        <v>8</v>
      </c>
      <c r="N189" s="48">
        <f t="shared" si="120"/>
        <v>155</v>
      </c>
      <c r="O189" s="48">
        <f t="shared" si="120"/>
        <v>0</v>
      </c>
      <c r="P189" s="48">
        <f t="shared" si="120"/>
        <v>12</v>
      </c>
      <c r="Q189" s="48">
        <f t="shared" si="120"/>
        <v>15</v>
      </c>
      <c r="R189" s="48">
        <f t="shared" si="120"/>
        <v>75</v>
      </c>
      <c r="S189" s="48">
        <f t="shared" si="120"/>
        <v>300</v>
      </c>
      <c r="T189" s="48">
        <f t="shared" si="120"/>
        <v>50</v>
      </c>
    </row>
    <row r="190" spans="1:20" s="48" customFormat="1">
      <c r="A190" s="47">
        <v>411</v>
      </c>
      <c r="B190" s="47" t="str">
        <f t="shared" si="113"/>
        <v>矿区小蝙蝠散人精英</v>
      </c>
      <c r="C190" s="47" t="str">
        <f t="shared" si="114"/>
        <v>比奇矿区</v>
      </c>
      <c r="D190" s="48">
        <f t="shared" si="115"/>
        <v>6</v>
      </c>
      <c r="E190" s="48">
        <f t="shared" si="115"/>
        <v>9</v>
      </c>
      <c r="F190" s="48">
        <f t="shared" si="115"/>
        <v>0</v>
      </c>
      <c r="G190" s="48">
        <v>0</v>
      </c>
      <c r="H190" s="48">
        <f t="shared" si="116"/>
        <v>0</v>
      </c>
      <c r="I190" s="48">
        <f t="shared" si="116"/>
        <v>0</v>
      </c>
      <c r="J190" s="48">
        <f t="shared" si="117"/>
        <v>3</v>
      </c>
      <c r="K190" s="48">
        <f t="shared" si="117"/>
        <v>3</v>
      </c>
      <c r="L190" s="48">
        <f t="shared" si="118"/>
        <v>5</v>
      </c>
      <c r="M190" s="48">
        <f t="shared" si="118"/>
        <v>5</v>
      </c>
      <c r="N190" s="48">
        <f t="shared" si="120"/>
        <v>25</v>
      </c>
      <c r="O190" s="48">
        <f t="shared" si="120"/>
        <v>0</v>
      </c>
      <c r="P190" s="48">
        <f t="shared" si="120"/>
        <v>11</v>
      </c>
      <c r="Q190" s="48">
        <f t="shared" si="120"/>
        <v>25</v>
      </c>
      <c r="R190" s="48">
        <f t="shared" si="120"/>
        <v>75</v>
      </c>
      <c r="S190" s="48">
        <f t="shared" si="120"/>
        <v>300</v>
      </c>
      <c r="T190" s="48">
        <f t="shared" si="120"/>
        <v>50</v>
      </c>
    </row>
    <row r="191" spans="1:20" s="48" customFormat="1">
      <c r="A191" s="47">
        <v>412</v>
      </c>
      <c r="B191" s="47" t="str">
        <f t="shared" si="113"/>
        <v>暗黑战士散人精英</v>
      </c>
      <c r="C191" s="47" t="str">
        <f t="shared" si="114"/>
        <v>沃玛寺庙</v>
      </c>
      <c r="D191" s="48">
        <f t="shared" si="115"/>
        <v>14</v>
      </c>
      <c r="E191" s="48">
        <f t="shared" si="115"/>
        <v>24</v>
      </c>
      <c r="F191" s="48">
        <f t="shared" si="115"/>
        <v>0</v>
      </c>
      <c r="G191" s="48">
        <v>0</v>
      </c>
      <c r="H191" s="48">
        <f t="shared" si="116"/>
        <v>0</v>
      </c>
      <c r="I191" s="48">
        <f t="shared" si="116"/>
        <v>0</v>
      </c>
      <c r="J191" s="48">
        <f t="shared" si="117"/>
        <v>4</v>
      </c>
      <c r="K191" s="48">
        <f t="shared" si="117"/>
        <v>4</v>
      </c>
      <c r="L191" s="48">
        <f t="shared" si="118"/>
        <v>8</v>
      </c>
      <c r="M191" s="48">
        <f t="shared" si="118"/>
        <v>8</v>
      </c>
      <c r="N191" s="48">
        <f t="shared" si="120"/>
        <v>165</v>
      </c>
      <c r="O191" s="48">
        <f t="shared" si="120"/>
        <v>0</v>
      </c>
      <c r="P191" s="48">
        <f t="shared" si="120"/>
        <v>15</v>
      </c>
      <c r="Q191" s="48">
        <f t="shared" si="120"/>
        <v>15</v>
      </c>
      <c r="R191" s="48">
        <f t="shared" si="120"/>
        <v>75</v>
      </c>
      <c r="S191" s="48">
        <f t="shared" si="120"/>
        <v>300</v>
      </c>
      <c r="T191" s="48">
        <f t="shared" si="120"/>
        <v>50</v>
      </c>
    </row>
    <row r="192" spans="1:20" s="48" customFormat="1">
      <c r="A192" s="47">
        <v>413</v>
      </c>
      <c r="B192" s="47" t="str">
        <f t="shared" si="113"/>
        <v>沃玛战士散人精英</v>
      </c>
      <c r="C192" s="47" t="str">
        <f t="shared" si="114"/>
        <v>沃玛寺庙</v>
      </c>
      <c r="D192" s="48">
        <f t="shared" si="115"/>
        <v>21</v>
      </c>
      <c r="E192" s="48">
        <f t="shared" si="115"/>
        <v>42</v>
      </c>
      <c r="F192" s="48">
        <f t="shared" si="115"/>
        <v>0</v>
      </c>
      <c r="G192" s="48">
        <v>0</v>
      </c>
      <c r="H192" s="48">
        <f t="shared" si="116"/>
        <v>0</v>
      </c>
      <c r="I192" s="48">
        <f t="shared" si="116"/>
        <v>0</v>
      </c>
      <c r="J192" s="48">
        <f t="shared" si="117"/>
        <v>4</v>
      </c>
      <c r="K192" s="48">
        <f t="shared" si="117"/>
        <v>4</v>
      </c>
      <c r="L192" s="48">
        <f t="shared" si="118"/>
        <v>8</v>
      </c>
      <c r="M192" s="48">
        <f t="shared" si="118"/>
        <v>8</v>
      </c>
      <c r="N192" s="48">
        <f t="shared" si="120"/>
        <v>265</v>
      </c>
      <c r="O192" s="48">
        <f t="shared" si="120"/>
        <v>0</v>
      </c>
      <c r="P192" s="48">
        <f t="shared" si="120"/>
        <v>13</v>
      </c>
      <c r="Q192" s="48">
        <f t="shared" si="120"/>
        <v>15</v>
      </c>
      <c r="R192" s="48">
        <f t="shared" si="120"/>
        <v>75</v>
      </c>
      <c r="S192" s="48">
        <f t="shared" si="120"/>
        <v>300</v>
      </c>
      <c r="T192" s="48">
        <f t="shared" si="120"/>
        <v>50</v>
      </c>
    </row>
    <row r="193" spans="1:20" s="48" customFormat="1">
      <c r="A193" s="47">
        <v>414</v>
      </c>
      <c r="B193" s="47" t="str">
        <f t="shared" si="113"/>
        <v>沃玛勇士散人精英</v>
      </c>
      <c r="C193" s="47" t="str">
        <f t="shared" si="114"/>
        <v>沃玛寺庙</v>
      </c>
      <c r="D193" s="48">
        <f t="shared" si="115"/>
        <v>24</v>
      </c>
      <c r="E193" s="48">
        <f t="shared" si="115"/>
        <v>42</v>
      </c>
      <c r="F193" s="48">
        <f t="shared" si="115"/>
        <v>0</v>
      </c>
      <c r="G193" s="48">
        <v>0</v>
      </c>
      <c r="H193" s="48">
        <f t="shared" si="116"/>
        <v>0</v>
      </c>
      <c r="I193" s="48">
        <f t="shared" si="116"/>
        <v>0</v>
      </c>
      <c r="J193" s="48">
        <f t="shared" si="117"/>
        <v>4</v>
      </c>
      <c r="K193" s="48">
        <f t="shared" si="117"/>
        <v>4</v>
      </c>
      <c r="L193" s="48">
        <f t="shared" si="118"/>
        <v>8</v>
      </c>
      <c r="M193" s="48">
        <f t="shared" si="118"/>
        <v>8</v>
      </c>
      <c r="N193" s="48">
        <f t="shared" si="120"/>
        <v>285</v>
      </c>
      <c r="O193" s="48">
        <f t="shared" si="120"/>
        <v>0</v>
      </c>
      <c r="P193" s="48">
        <f t="shared" si="120"/>
        <v>13</v>
      </c>
      <c r="Q193" s="48">
        <f t="shared" si="120"/>
        <v>15</v>
      </c>
      <c r="R193" s="48">
        <f t="shared" si="120"/>
        <v>75</v>
      </c>
      <c r="S193" s="48">
        <f t="shared" si="120"/>
        <v>300</v>
      </c>
      <c r="T193" s="48">
        <f t="shared" si="120"/>
        <v>50</v>
      </c>
    </row>
    <row r="194" spans="1:20" s="48" customFormat="1">
      <c r="A194" s="47">
        <v>415</v>
      </c>
      <c r="B194" s="47" t="str">
        <f t="shared" si="113"/>
        <v>沃玛战将散人精英</v>
      </c>
      <c r="C194" s="47" t="str">
        <f t="shared" si="114"/>
        <v>沃玛寺庙</v>
      </c>
      <c r="D194" s="48">
        <f t="shared" si="115"/>
        <v>23</v>
      </c>
      <c r="E194" s="48">
        <f t="shared" si="115"/>
        <v>44</v>
      </c>
      <c r="F194" s="48">
        <f t="shared" si="115"/>
        <v>0</v>
      </c>
      <c r="G194" s="48">
        <v>0</v>
      </c>
      <c r="H194" s="48">
        <f t="shared" si="116"/>
        <v>0</v>
      </c>
      <c r="I194" s="48">
        <f t="shared" si="116"/>
        <v>0</v>
      </c>
      <c r="J194" s="48">
        <f t="shared" si="117"/>
        <v>4</v>
      </c>
      <c r="K194" s="48">
        <f t="shared" si="117"/>
        <v>4</v>
      </c>
      <c r="L194" s="48">
        <f t="shared" si="118"/>
        <v>8</v>
      </c>
      <c r="M194" s="48">
        <f t="shared" si="118"/>
        <v>8</v>
      </c>
      <c r="N194" s="48">
        <f t="shared" si="120"/>
        <v>285</v>
      </c>
      <c r="O194" s="48">
        <f t="shared" si="120"/>
        <v>0</v>
      </c>
      <c r="P194" s="48">
        <f t="shared" si="120"/>
        <v>13</v>
      </c>
      <c r="Q194" s="48">
        <f t="shared" si="120"/>
        <v>15</v>
      </c>
      <c r="R194" s="48">
        <f t="shared" si="120"/>
        <v>75</v>
      </c>
      <c r="S194" s="48">
        <f t="shared" si="120"/>
        <v>300</v>
      </c>
      <c r="T194" s="48">
        <f t="shared" si="120"/>
        <v>50</v>
      </c>
    </row>
    <row r="195" spans="1:20" s="48" customFormat="1">
      <c r="A195" s="47">
        <v>416</v>
      </c>
      <c r="B195" s="47" t="str">
        <f t="shared" si="113"/>
        <v>火焰沃玛散人精英</v>
      </c>
      <c r="C195" s="47" t="str">
        <f t="shared" si="114"/>
        <v>沃玛寺庙</v>
      </c>
      <c r="D195" s="48">
        <f t="shared" si="115"/>
        <v>21</v>
      </c>
      <c r="E195" s="48">
        <f t="shared" si="115"/>
        <v>39</v>
      </c>
      <c r="F195" s="48">
        <f t="shared" si="115"/>
        <v>0</v>
      </c>
      <c r="G195" s="48">
        <v>0</v>
      </c>
      <c r="H195" s="48">
        <f t="shared" si="116"/>
        <v>0</v>
      </c>
      <c r="I195" s="48">
        <f t="shared" si="116"/>
        <v>0</v>
      </c>
      <c r="J195" s="48">
        <f t="shared" si="117"/>
        <v>0</v>
      </c>
      <c r="K195" s="48">
        <f t="shared" si="117"/>
        <v>0</v>
      </c>
      <c r="L195" s="48">
        <f t="shared" si="118"/>
        <v>5</v>
      </c>
      <c r="M195" s="48">
        <f t="shared" si="118"/>
        <v>5</v>
      </c>
      <c r="N195" s="48">
        <f t="shared" si="120"/>
        <v>340</v>
      </c>
      <c r="O195" s="48">
        <f t="shared" si="120"/>
        <v>0</v>
      </c>
      <c r="P195" s="48">
        <f t="shared" si="120"/>
        <v>20</v>
      </c>
      <c r="Q195" s="48">
        <f t="shared" si="120"/>
        <v>20</v>
      </c>
      <c r="R195" s="48">
        <f t="shared" si="120"/>
        <v>75</v>
      </c>
      <c r="S195" s="48">
        <f t="shared" si="120"/>
        <v>300</v>
      </c>
      <c r="T195" s="48">
        <f t="shared" si="120"/>
        <v>50</v>
      </c>
    </row>
    <row r="196" spans="1:20" s="48" customFormat="1">
      <c r="A196" s="47">
        <v>417</v>
      </c>
      <c r="B196" s="47" t="str">
        <f t="shared" si="113"/>
        <v>盔甲虫散人精英</v>
      </c>
      <c r="C196" s="47" t="str">
        <f t="shared" si="114"/>
        <v>盟重</v>
      </c>
      <c r="D196" s="48">
        <f t="shared" ref="D196:F215" si="121">ROUND(D28*1.5,0)</f>
        <v>6</v>
      </c>
      <c r="E196" s="48">
        <f t="shared" si="121"/>
        <v>15</v>
      </c>
      <c r="F196" s="48">
        <f t="shared" si="121"/>
        <v>0</v>
      </c>
      <c r="G196" s="48">
        <v>0</v>
      </c>
      <c r="H196" s="48">
        <f t="shared" ref="H196:I215" si="122">ROUND(H28*1.5,0)</f>
        <v>0</v>
      </c>
      <c r="I196" s="48">
        <f t="shared" si="122"/>
        <v>0</v>
      </c>
      <c r="J196" s="48">
        <f t="shared" ref="J196:K215" si="123">ROUND(J28*1.3,0)</f>
        <v>0</v>
      </c>
      <c r="K196" s="48">
        <f t="shared" si="123"/>
        <v>0</v>
      </c>
      <c r="L196" s="48">
        <f t="shared" ref="L196:M215" si="124">ROUND(L28*1.5+5,0)</f>
        <v>5</v>
      </c>
      <c r="M196" s="48">
        <f t="shared" si="124"/>
        <v>5</v>
      </c>
      <c r="N196" s="48">
        <f t="shared" ref="N196:T205" si="125">N28</f>
        <v>50</v>
      </c>
      <c r="O196" s="48">
        <f t="shared" si="125"/>
        <v>0</v>
      </c>
      <c r="P196" s="48">
        <f t="shared" si="125"/>
        <v>7</v>
      </c>
      <c r="Q196" s="48">
        <f t="shared" si="125"/>
        <v>12</v>
      </c>
      <c r="R196" s="48">
        <f t="shared" si="125"/>
        <v>75</v>
      </c>
      <c r="S196" s="48">
        <f t="shared" si="125"/>
        <v>300</v>
      </c>
      <c r="T196" s="48">
        <f t="shared" si="125"/>
        <v>50</v>
      </c>
    </row>
    <row r="197" spans="1:20" s="48" customFormat="1">
      <c r="A197" s="47">
        <v>438</v>
      </c>
      <c r="B197" s="47" t="str">
        <f t="shared" si="113"/>
        <v>熊散人精英</v>
      </c>
      <c r="C197" s="47" t="str">
        <f t="shared" si="114"/>
        <v>盟重</v>
      </c>
      <c r="D197" s="48">
        <f t="shared" si="121"/>
        <v>8</v>
      </c>
      <c r="E197" s="48">
        <f t="shared" si="121"/>
        <v>12</v>
      </c>
      <c r="F197" s="48">
        <f t="shared" si="121"/>
        <v>0</v>
      </c>
      <c r="G197" s="48">
        <v>0</v>
      </c>
      <c r="H197" s="48">
        <f t="shared" si="122"/>
        <v>0</v>
      </c>
      <c r="I197" s="48">
        <f t="shared" si="122"/>
        <v>0</v>
      </c>
      <c r="J197" s="48">
        <f t="shared" si="123"/>
        <v>0</v>
      </c>
      <c r="K197" s="48">
        <f t="shared" si="123"/>
        <v>0</v>
      </c>
      <c r="L197" s="48">
        <f t="shared" si="124"/>
        <v>5</v>
      </c>
      <c r="M197" s="48">
        <f t="shared" si="124"/>
        <v>5</v>
      </c>
      <c r="N197" s="48">
        <f t="shared" si="125"/>
        <v>46</v>
      </c>
      <c r="O197" s="48">
        <f t="shared" si="125"/>
        <v>0</v>
      </c>
      <c r="P197" s="48">
        <f t="shared" si="125"/>
        <v>10</v>
      </c>
      <c r="Q197" s="48">
        <f t="shared" si="125"/>
        <v>12</v>
      </c>
      <c r="R197" s="48">
        <f t="shared" si="125"/>
        <v>75</v>
      </c>
      <c r="S197" s="48">
        <f t="shared" si="125"/>
        <v>300</v>
      </c>
      <c r="T197" s="48">
        <f t="shared" si="125"/>
        <v>50</v>
      </c>
    </row>
    <row r="198" spans="1:20" s="48" customFormat="1">
      <c r="A198" s="47">
        <v>418</v>
      </c>
      <c r="B198" s="47" t="str">
        <f t="shared" si="113"/>
        <v>狼散人精英</v>
      </c>
      <c r="C198" s="47" t="str">
        <f t="shared" si="114"/>
        <v>盟重</v>
      </c>
      <c r="D198" s="48">
        <f t="shared" si="121"/>
        <v>9</v>
      </c>
      <c r="E198" s="48">
        <f t="shared" si="121"/>
        <v>14</v>
      </c>
      <c r="F198" s="48">
        <f t="shared" si="121"/>
        <v>0</v>
      </c>
      <c r="G198" s="48">
        <v>0</v>
      </c>
      <c r="H198" s="48">
        <f t="shared" si="122"/>
        <v>0</v>
      </c>
      <c r="I198" s="48">
        <f t="shared" si="122"/>
        <v>0</v>
      </c>
      <c r="J198" s="48">
        <f t="shared" si="123"/>
        <v>0</v>
      </c>
      <c r="K198" s="48">
        <f t="shared" si="123"/>
        <v>0</v>
      </c>
      <c r="L198" s="48">
        <f t="shared" si="124"/>
        <v>5</v>
      </c>
      <c r="M198" s="48">
        <f t="shared" si="124"/>
        <v>5</v>
      </c>
      <c r="N198" s="48">
        <f t="shared" si="125"/>
        <v>37</v>
      </c>
      <c r="O198" s="48">
        <f t="shared" si="125"/>
        <v>0</v>
      </c>
      <c r="P198" s="48">
        <f t="shared" si="125"/>
        <v>10</v>
      </c>
      <c r="Q198" s="48">
        <f t="shared" si="125"/>
        <v>13</v>
      </c>
      <c r="R198" s="48">
        <f t="shared" si="125"/>
        <v>75</v>
      </c>
      <c r="S198" s="48">
        <f t="shared" si="125"/>
        <v>300</v>
      </c>
      <c r="T198" s="48">
        <f t="shared" si="125"/>
        <v>50</v>
      </c>
    </row>
    <row r="199" spans="1:20" s="48" customFormat="1">
      <c r="A199" s="47">
        <v>419</v>
      </c>
      <c r="B199" s="47" t="str">
        <f t="shared" si="113"/>
        <v>多角虫散人精英</v>
      </c>
      <c r="C199" s="47" t="str">
        <f t="shared" si="114"/>
        <v>盟重</v>
      </c>
      <c r="D199" s="48">
        <f t="shared" si="121"/>
        <v>11</v>
      </c>
      <c r="E199" s="48">
        <f t="shared" si="121"/>
        <v>12</v>
      </c>
      <c r="F199" s="48">
        <f t="shared" si="121"/>
        <v>0</v>
      </c>
      <c r="G199" s="48">
        <v>0</v>
      </c>
      <c r="H199" s="48">
        <f t="shared" si="122"/>
        <v>0</v>
      </c>
      <c r="I199" s="48">
        <f t="shared" si="122"/>
        <v>0</v>
      </c>
      <c r="J199" s="48">
        <f t="shared" si="123"/>
        <v>0</v>
      </c>
      <c r="K199" s="48">
        <f t="shared" si="123"/>
        <v>0</v>
      </c>
      <c r="L199" s="48">
        <f t="shared" si="124"/>
        <v>5</v>
      </c>
      <c r="M199" s="48">
        <f t="shared" si="124"/>
        <v>5</v>
      </c>
      <c r="N199" s="48">
        <f t="shared" si="125"/>
        <v>52</v>
      </c>
      <c r="O199" s="48">
        <f t="shared" si="125"/>
        <v>0</v>
      </c>
      <c r="P199" s="48">
        <f t="shared" si="125"/>
        <v>10</v>
      </c>
      <c r="Q199" s="48">
        <f t="shared" si="125"/>
        <v>13</v>
      </c>
      <c r="R199" s="48">
        <f t="shared" si="125"/>
        <v>75</v>
      </c>
      <c r="S199" s="48">
        <f t="shared" si="125"/>
        <v>300</v>
      </c>
      <c r="T199" s="48">
        <f t="shared" si="125"/>
        <v>50</v>
      </c>
    </row>
    <row r="200" spans="1:20" s="48" customFormat="1">
      <c r="A200" s="47">
        <v>420</v>
      </c>
      <c r="B200" s="47" t="str">
        <f t="shared" si="113"/>
        <v>蜈蚣散人精英</v>
      </c>
      <c r="C200" s="47" t="str">
        <f t="shared" si="114"/>
        <v>死亡峡谷</v>
      </c>
      <c r="D200" s="48">
        <f t="shared" si="121"/>
        <v>18</v>
      </c>
      <c r="E200" s="48">
        <f t="shared" si="121"/>
        <v>27</v>
      </c>
      <c r="F200" s="48">
        <f t="shared" si="121"/>
        <v>0</v>
      </c>
      <c r="G200" s="48">
        <v>0</v>
      </c>
      <c r="H200" s="48">
        <f t="shared" si="122"/>
        <v>0</v>
      </c>
      <c r="I200" s="48">
        <f t="shared" si="122"/>
        <v>0</v>
      </c>
      <c r="J200" s="48">
        <f t="shared" si="123"/>
        <v>0</v>
      </c>
      <c r="K200" s="48">
        <f t="shared" si="123"/>
        <v>0</v>
      </c>
      <c r="L200" s="48">
        <f t="shared" si="124"/>
        <v>13</v>
      </c>
      <c r="M200" s="48">
        <f t="shared" si="124"/>
        <v>13</v>
      </c>
      <c r="N200" s="48">
        <f t="shared" si="125"/>
        <v>230</v>
      </c>
      <c r="O200" s="48">
        <f t="shared" si="125"/>
        <v>0</v>
      </c>
      <c r="P200" s="48">
        <f t="shared" si="125"/>
        <v>13</v>
      </c>
      <c r="Q200" s="48">
        <f t="shared" si="125"/>
        <v>15</v>
      </c>
      <c r="R200" s="48">
        <f t="shared" si="125"/>
        <v>75</v>
      </c>
      <c r="S200" s="48">
        <f t="shared" si="125"/>
        <v>300</v>
      </c>
      <c r="T200" s="48">
        <f t="shared" si="125"/>
        <v>50</v>
      </c>
    </row>
    <row r="201" spans="1:20" s="48" customFormat="1">
      <c r="A201" s="47">
        <v>421</v>
      </c>
      <c r="B201" s="47" t="str">
        <f t="shared" si="113"/>
        <v>巨型蠕虫散人精英</v>
      </c>
      <c r="C201" s="47" t="str">
        <f t="shared" si="114"/>
        <v>死亡峡谷</v>
      </c>
      <c r="D201" s="48">
        <f t="shared" si="121"/>
        <v>23</v>
      </c>
      <c r="E201" s="48">
        <f t="shared" si="121"/>
        <v>27</v>
      </c>
      <c r="F201" s="48">
        <f t="shared" si="121"/>
        <v>0</v>
      </c>
      <c r="G201" s="48">
        <v>0</v>
      </c>
      <c r="H201" s="48">
        <f t="shared" si="122"/>
        <v>0</v>
      </c>
      <c r="I201" s="48">
        <f t="shared" si="122"/>
        <v>0</v>
      </c>
      <c r="J201" s="48">
        <f t="shared" si="123"/>
        <v>4</v>
      </c>
      <c r="K201" s="48">
        <f t="shared" si="123"/>
        <v>4</v>
      </c>
      <c r="L201" s="48">
        <f t="shared" si="124"/>
        <v>10</v>
      </c>
      <c r="M201" s="48">
        <f t="shared" si="124"/>
        <v>10</v>
      </c>
      <c r="N201" s="48">
        <f t="shared" si="125"/>
        <v>200</v>
      </c>
      <c r="O201" s="48">
        <f t="shared" si="125"/>
        <v>0</v>
      </c>
      <c r="P201" s="48">
        <f t="shared" si="125"/>
        <v>13</v>
      </c>
      <c r="Q201" s="48">
        <f t="shared" si="125"/>
        <v>15</v>
      </c>
      <c r="R201" s="48">
        <f t="shared" si="125"/>
        <v>75</v>
      </c>
      <c r="S201" s="48">
        <f t="shared" si="125"/>
        <v>300</v>
      </c>
      <c r="T201" s="48">
        <f t="shared" si="125"/>
        <v>50</v>
      </c>
    </row>
    <row r="202" spans="1:20" s="48" customFormat="1">
      <c r="A202" s="47">
        <v>422</v>
      </c>
      <c r="B202" s="47" t="str">
        <f t="shared" si="113"/>
        <v>钳虫散人精英</v>
      </c>
      <c r="C202" s="47" t="str">
        <f t="shared" si="114"/>
        <v>死亡峡谷</v>
      </c>
      <c r="D202" s="48">
        <f t="shared" si="121"/>
        <v>23</v>
      </c>
      <c r="E202" s="48">
        <f t="shared" si="121"/>
        <v>38</v>
      </c>
      <c r="F202" s="48">
        <f t="shared" si="121"/>
        <v>0</v>
      </c>
      <c r="G202" s="48">
        <v>0</v>
      </c>
      <c r="H202" s="48">
        <f t="shared" si="122"/>
        <v>0</v>
      </c>
      <c r="I202" s="48">
        <f t="shared" si="122"/>
        <v>0</v>
      </c>
      <c r="J202" s="48">
        <f t="shared" si="123"/>
        <v>7</v>
      </c>
      <c r="K202" s="48">
        <f t="shared" si="123"/>
        <v>7</v>
      </c>
      <c r="L202" s="48">
        <f t="shared" si="124"/>
        <v>16</v>
      </c>
      <c r="M202" s="48">
        <f t="shared" si="124"/>
        <v>16</v>
      </c>
      <c r="N202" s="48">
        <f t="shared" si="125"/>
        <v>270</v>
      </c>
      <c r="O202" s="48">
        <f t="shared" si="125"/>
        <v>0</v>
      </c>
      <c r="P202" s="48">
        <f t="shared" si="125"/>
        <v>13</v>
      </c>
      <c r="Q202" s="48">
        <f t="shared" si="125"/>
        <v>15</v>
      </c>
      <c r="R202" s="48">
        <f t="shared" si="125"/>
        <v>75</v>
      </c>
      <c r="S202" s="48">
        <f t="shared" si="125"/>
        <v>300</v>
      </c>
      <c r="T202" s="48">
        <f t="shared" si="125"/>
        <v>50</v>
      </c>
    </row>
    <row r="203" spans="1:20" s="48" customFormat="1">
      <c r="A203" s="47">
        <v>423</v>
      </c>
      <c r="B203" s="47" t="str">
        <f t="shared" si="113"/>
        <v>跳跳蜂散人精英</v>
      </c>
      <c r="C203" s="47" t="str">
        <f t="shared" si="114"/>
        <v>死亡峡谷</v>
      </c>
      <c r="D203" s="48">
        <f t="shared" si="121"/>
        <v>18</v>
      </c>
      <c r="E203" s="48">
        <f t="shared" si="121"/>
        <v>27</v>
      </c>
      <c r="F203" s="48">
        <f t="shared" si="121"/>
        <v>0</v>
      </c>
      <c r="G203" s="48">
        <v>0</v>
      </c>
      <c r="H203" s="48">
        <f t="shared" si="122"/>
        <v>0</v>
      </c>
      <c r="I203" s="48">
        <f t="shared" si="122"/>
        <v>0</v>
      </c>
      <c r="J203" s="48">
        <f t="shared" si="123"/>
        <v>4</v>
      </c>
      <c r="K203" s="48">
        <f t="shared" si="123"/>
        <v>4</v>
      </c>
      <c r="L203" s="48">
        <f t="shared" si="124"/>
        <v>10</v>
      </c>
      <c r="M203" s="48">
        <f t="shared" si="124"/>
        <v>10</v>
      </c>
      <c r="N203" s="48">
        <f t="shared" si="125"/>
        <v>200</v>
      </c>
      <c r="O203" s="48">
        <f t="shared" si="125"/>
        <v>0</v>
      </c>
      <c r="P203" s="48">
        <f t="shared" si="125"/>
        <v>13</v>
      </c>
      <c r="Q203" s="48">
        <f t="shared" si="125"/>
        <v>15</v>
      </c>
      <c r="R203" s="48">
        <f t="shared" si="125"/>
        <v>75</v>
      </c>
      <c r="S203" s="48">
        <f t="shared" si="125"/>
        <v>300</v>
      </c>
      <c r="T203" s="48">
        <f t="shared" si="125"/>
        <v>50</v>
      </c>
    </row>
    <row r="204" spans="1:20" s="48" customFormat="1">
      <c r="A204" s="47">
        <v>424</v>
      </c>
      <c r="B204" s="47" t="str">
        <f t="shared" si="113"/>
        <v>恶蛆散人精英</v>
      </c>
      <c r="C204" s="47" t="str">
        <f t="shared" si="114"/>
        <v>石墓</v>
      </c>
      <c r="D204" s="48">
        <f t="shared" si="121"/>
        <v>15</v>
      </c>
      <c r="E204" s="48">
        <f t="shared" si="121"/>
        <v>23</v>
      </c>
      <c r="F204" s="48">
        <f t="shared" si="121"/>
        <v>0</v>
      </c>
      <c r="G204" s="48">
        <v>0</v>
      </c>
      <c r="H204" s="48">
        <f t="shared" si="122"/>
        <v>0</v>
      </c>
      <c r="I204" s="48">
        <f t="shared" si="122"/>
        <v>0</v>
      </c>
      <c r="J204" s="48">
        <f t="shared" si="123"/>
        <v>7</v>
      </c>
      <c r="K204" s="48">
        <f t="shared" si="123"/>
        <v>7</v>
      </c>
      <c r="L204" s="48">
        <f t="shared" si="124"/>
        <v>5</v>
      </c>
      <c r="M204" s="48">
        <f t="shared" si="124"/>
        <v>5</v>
      </c>
      <c r="N204" s="48">
        <f t="shared" si="125"/>
        <v>230</v>
      </c>
      <c r="O204" s="48">
        <f t="shared" si="125"/>
        <v>0</v>
      </c>
      <c r="P204" s="48">
        <f t="shared" si="125"/>
        <v>13</v>
      </c>
      <c r="Q204" s="48">
        <f t="shared" si="125"/>
        <v>15</v>
      </c>
      <c r="R204" s="48">
        <f t="shared" si="125"/>
        <v>75</v>
      </c>
      <c r="S204" s="48">
        <f t="shared" si="125"/>
        <v>300</v>
      </c>
      <c r="T204" s="48">
        <f t="shared" si="125"/>
        <v>50</v>
      </c>
    </row>
    <row r="205" spans="1:20" s="48" customFormat="1">
      <c r="A205" s="47">
        <v>425</v>
      </c>
      <c r="B205" s="47" t="str">
        <f t="shared" si="113"/>
        <v>红野猪散人精英</v>
      </c>
      <c r="C205" s="47" t="str">
        <f t="shared" si="114"/>
        <v>石墓</v>
      </c>
      <c r="D205" s="48">
        <f t="shared" si="121"/>
        <v>27</v>
      </c>
      <c r="E205" s="48">
        <f t="shared" si="121"/>
        <v>38</v>
      </c>
      <c r="F205" s="48">
        <f t="shared" si="121"/>
        <v>0</v>
      </c>
      <c r="G205" s="48">
        <v>0</v>
      </c>
      <c r="H205" s="48">
        <f t="shared" si="122"/>
        <v>0</v>
      </c>
      <c r="I205" s="48">
        <f t="shared" si="122"/>
        <v>0</v>
      </c>
      <c r="J205" s="48">
        <f t="shared" si="123"/>
        <v>0</v>
      </c>
      <c r="K205" s="48">
        <f t="shared" si="123"/>
        <v>0</v>
      </c>
      <c r="L205" s="48">
        <f t="shared" si="124"/>
        <v>17</v>
      </c>
      <c r="M205" s="48">
        <f t="shared" si="124"/>
        <v>17</v>
      </c>
      <c r="N205" s="48">
        <f t="shared" si="125"/>
        <v>330</v>
      </c>
      <c r="O205" s="48">
        <f t="shared" si="125"/>
        <v>0</v>
      </c>
      <c r="P205" s="48">
        <f t="shared" si="125"/>
        <v>13</v>
      </c>
      <c r="Q205" s="48">
        <f t="shared" si="125"/>
        <v>15</v>
      </c>
      <c r="R205" s="48">
        <f t="shared" si="125"/>
        <v>75</v>
      </c>
      <c r="S205" s="48">
        <f t="shared" si="125"/>
        <v>300</v>
      </c>
      <c r="T205" s="48">
        <f t="shared" si="125"/>
        <v>50</v>
      </c>
    </row>
    <row r="206" spans="1:20" s="48" customFormat="1">
      <c r="A206" s="47">
        <v>426</v>
      </c>
      <c r="B206" s="47" t="str">
        <f t="shared" si="113"/>
        <v>黑野猪散人精英</v>
      </c>
      <c r="C206" s="47" t="str">
        <f t="shared" si="114"/>
        <v>石墓</v>
      </c>
      <c r="D206" s="48">
        <f t="shared" si="121"/>
        <v>30</v>
      </c>
      <c r="E206" s="48">
        <f t="shared" si="121"/>
        <v>39</v>
      </c>
      <c r="F206" s="48">
        <f t="shared" si="121"/>
        <v>0</v>
      </c>
      <c r="G206" s="48">
        <v>0</v>
      </c>
      <c r="H206" s="48">
        <f t="shared" si="122"/>
        <v>0</v>
      </c>
      <c r="I206" s="48">
        <f t="shared" si="122"/>
        <v>0</v>
      </c>
      <c r="J206" s="48">
        <f t="shared" si="123"/>
        <v>13</v>
      </c>
      <c r="K206" s="48">
        <f t="shared" si="123"/>
        <v>13</v>
      </c>
      <c r="L206" s="48">
        <f t="shared" si="124"/>
        <v>5</v>
      </c>
      <c r="M206" s="48">
        <f t="shared" si="124"/>
        <v>5</v>
      </c>
      <c r="N206" s="48">
        <f t="shared" ref="N206:T215" si="126">N38</f>
        <v>310</v>
      </c>
      <c r="O206" s="48">
        <f t="shared" si="126"/>
        <v>0</v>
      </c>
      <c r="P206" s="48">
        <f t="shared" si="126"/>
        <v>13</v>
      </c>
      <c r="Q206" s="48">
        <f t="shared" si="126"/>
        <v>15</v>
      </c>
      <c r="R206" s="48">
        <f t="shared" si="126"/>
        <v>75</v>
      </c>
      <c r="S206" s="48">
        <f t="shared" si="126"/>
        <v>300</v>
      </c>
      <c r="T206" s="48">
        <f t="shared" si="126"/>
        <v>50</v>
      </c>
    </row>
    <row r="207" spans="1:20" s="48" customFormat="1">
      <c r="A207" s="47">
        <v>427</v>
      </c>
      <c r="B207" s="47" t="str">
        <f t="shared" si="113"/>
        <v>白野猪散人精英</v>
      </c>
      <c r="C207" s="47" t="str">
        <f t="shared" si="114"/>
        <v>石墓</v>
      </c>
      <c r="D207" s="48">
        <f t="shared" si="121"/>
        <v>45</v>
      </c>
      <c r="E207" s="48">
        <f t="shared" si="121"/>
        <v>83</v>
      </c>
      <c r="F207" s="48">
        <f t="shared" si="121"/>
        <v>0</v>
      </c>
      <c r="G207" s="48">
        <v>0</v>
      </c>
      <c r="H207" s="48">
        <f t="shared" si="122"/>
        <v>0</v>
      </c>
      <c r="I207" s="48">
        <f t="shared" si="122"/>
        <v>0</v>
      </c>
      <c r="J207" s="48">
        <f t="shared" si="123"/>
        <v>20</v>
      </c>
      <c r="K207" s="48">
        <f t="shared" si="123"/>
        <v>20</v>
      </c>
      <c r="L207" s="48">
        <f t="shared" si="124"/>
        <v>28</v>
      </c>
      <c r="M207" s="48">
        <f t="shared" si="124"/>
        <v>28</v>
      </c>
      <c r="N207" s="48">
        <f t="shared" si="126"/>
        <v>1000</v>
      </c>
      <c r="O207" s="48">
        <f t="shared" si="126"/>
        <v>0</v>
      </c>
      <c r="P207" s="48">
        <f t="shared" si="126"/>
        <v>17</v>
      </c>
      <c r="Q207" s="48">
        <f t="shared" si="126"/>
        <v>25</v>
      </c>
      <c r="R207" s="48">
        <f t="shared" si="126"/>
        <v>75</v>
      </c>
      <c r="S207" s="48">
        <f t="shared" si="126"/>
        <v>300</v>
      </c>
      <c r="T207" s="48">
        <f t="shared" si="126"/>
        <v>50</v>
      </c>
    </row>
    <row r="208" spans="1:20" s="48" customFormat="1">
      <c r="A208" s="47">
        <v>428</v>
      </c>
      <c r="B208" s="47" t="str">
        <f t="shared" si="113"/>
        <v>虹魔猪卫散人精英</v>
      </c>
      <c r="C208" s="47" t="str">
        <f t="shared" si="114"/>
        <v>虹魔教坛</v>
      </c>
      <c r="D208" s="48">
        <f t="shared" si="121"/>
        <v>60</v>
      </c>
      <c r="E208" s="48">
        <f t="shared" si="121"/>
        <v>90</v>
      </c>
      <c r="F208" s="48">
        <f t="shared" si="121"/>
        <v>0</v>
      </c>
      <c r="G208" s="48">
        <v>0</v>
      </c>
      <c r="H208" s="48">
        <f t="shared" si="122"/>
        <v>0</v>
      </c>
      <c r="I208" s="48">
        <f t="shared" si="122"/>
        <v>0</v>
      </c>
      <c r="J208" s="48">
        <f t="shared" si="123"/>
        <v>26</v>
      </c>
      <c r="K208" s="48">
        <f t="shared" si="123"/>
        <v>26</v>
      </c>
      <c r="L208" s="48">
        <f t="shared" si="124"/>
        <v>35</v>
      </c>
      <c r="M208" s="48">
        <f t="shared" si="124"/>
        <v>35</v>
      </c>
      <c r="N208" s="48">
        <f t="shared" si="126"/>
        <v>1500</v>
      </c>
      <c r="O208" s="48">
        <f t="shared" si="126"/>
        <v>0</v>
      </c>
      <c r="P208" s="48">
        <f t="shared" si="126"/>
        <v>17</v>
      </c>
      <c r="Q208" s="48">
        <f t="shared" si="126"/>
        <v>25</v>
      </c>
      <c r="R208" s="48">
        <f t="shared" si="126"/>
        <v>75</v>
      </c>
      <c r="S208" s="48">
        <f t="shared" si="126"/>
        <v>300</v>
      </c>
      <c r="T208" s="48">
        <f t="shared" si="126"/>
        <v>50</v>
      </c>
    </row>
    <row r="209" spans="1:20" s="48" customFormat="1">
      <c r="A209" s="47">
        <v>429</v>
      </c>
      <c r="B209" s="47" t="str">
        <f t="shared" si="113"/>
        <v>虹魔蝎卫散人精英</v>
      </c>
      <c r="C209" s="47" t="str">
        <f t="shared" si="114"/>
        <v>虹魔教坛</v>
      </c>
      <c r="D209" s="48">
        <f t="shared" si="121"/>
        <v>68</v>
      </c>
      <c r="E209" s="48">
        <f t="shared" si="121"/>
        <v>98</v>
      </c>
      <c r="F209" s="48">
        <f t="shared" si="121"/>
        <v>0</v>
      </c>
      <c r="G209" s="48">
        <v>0</v>
      </c>
      <c r="H209" s="48">
        <f t="shared" si="122"/>
        <v>0</v>
      </c>
      <c r="I209" s="48">
        <f t="shared" si="122"/>
        <v>0</v>
      </c>
      <c r="J209" s="48">
        <f t="shared" si="123"/>
        <v>33</v>
      </c>
      <c r="K209" s="48">
        <f t="shared" si="123"/>
        <v>33</v>
      </c>
      <c r="L209" s="48">
        <f t="shared" si="124"/>
        <v>43</v>
      </c>
      <c r="M209" s="48">
        <f t="shared" si="124"/>
        <v>43</v>
      </c>
      <c r="N209" s="48">
        <f t="shared" si="126"/>
        <v>2000</v>
      </c>
      <c r="O209" s="48">
        <f t="shared" si="126"/>
        <v>0</v>
      </c>
      <c r="P209" s="48">
        <f t="shared" si="126"/>
        <v>17</v>
      </c>
      <c r="Q209" s="48">
        <f t="shared" si="126"/>
        <v>25</v>
      </c>
      <c r="R209" s="48">
        <f t="shared" si="126"/>
        <v>75</v>
      </c>
      <c r="S209" s="48">
        <f t="shared" si="126"/>
        <v>300</v>
      </c>
      <c r="T209" s="48">
        <f t="shared" si="126"/>
        <v>50</v>
      </c>
    </row>
    <row r="210" spans="1:20" s="48" customFormat="1">
      <c r="A210" s="47">
        <v>430</v>
      </c>
      <c r="B210" s="47" t="str">
        <f t="shared" si="113"/>
        <v>残肢僵尸1散人精英</v>
      </c>
      <c r="C210" s="47" t="str">
        <f t="shared" si="114"/>
        <v>比奇矿区</v>
      </c>
      <c r="D210" s="48">
        <f t="shared" si="121"/>
        <v>8</v>
      </c>
      <c r="E210" s="48">
        <f t="shared" si="121"/>
        <v>18</v>
      </c>
      <c r="F210" s="48">
        <f t="shared" si="121"/>
        <v>0</v>
      </c>
      <c r="G210" s="48">
        <v>0</v>
      </c>
      <c r="H210" s="48">
        <f t="shared" si="122"/>
        <v>0</v>
      </c>
      <c r="I210" s="48">
        <f t="shared" si="122"/>
        <v>0</v>
      </c>
      <c r="J210" s="48">
        <f t="shared" si="123"/>
        <v>3</v>
      </c>
      <c r="K210" s="48">
        <f t="shared" si="123"/>
        <v>3</v>
      </c>
      <c r="L210" s="48">
        <f t="shared" si="124"/>
        <v>7</v>
      </c>
      <c r="M210" s="48">
        <f t="shared" si="124"/>
        <v>7</v>
      </c>
      <c r="N210" s="48">
        <f t="shared" si="126"/>
        <v>77</v>
      </c>
      <c r="O210" s="48">
        <f t="shared" si="126"/>
        <v>0</v>
      </c>
      <c r="P210" s="48">
        <f t="shared" si="126"/>
        <v>5</v>
      </c>
      <c r="Q210" s="48">
        <f t="shared" si="126"/>
        <v>10</v>
      </c>
      <c r="R210" s="48">
        <f t="shared" si="126"/>
        <v>75</v>
      </c>
      <c r="S210" s="48">
        <f t="shared" si="126"/>
        <v>300</v>
      </c>
      <c r="T210" s="48">
        <f t="shared" si="126"/>
        <v>50</v>
      </c>
    </row>
    <row r="211" spans="1:20" s="48" customFormat="1">
      <c r="A211" s="47">
        <v>431</v>
      </c>
      <c r="B211" s="47" t="str">
        <f t="shared" si="113"/>
        <v>直立僵尸2散人精英</v>
      </c>
      <c r="C211" s="47" t="str">
        <f t="shared" si="114"/>
        <v>比奇矿区</v>
      </c>
      <c r="D211" s="48">
        <f t="shared" si="121"/>
        <v>8</v>
      </c>
      <c r="E211" s="48">
        <f t="shared" si="121"/>
        <v>23</v>
      </c>
      <c r="F211" s="48">
        <f t="shared" si="121"/>
        <v>0</v>
      </c>
      <c r="G211" s="48">
        <v>0</v>
      </c>
      <c r="H211" s="48">
        <f t="shared" si="122"/>
        <v>0</v>
      </c>
      <c r="I211" s="48">
        <f t="shared" si="122"/>
        <v>0</v>
      </c>
      <c r="J211" s="48">
        <f t="shared" si="123"/>
        <v>3</v>
      </c>
      <c r="K211" s="48">
        <f t="shared" si="123"/>
        <v>3</v>
      </c>
      <c r="L211" s="48">
        <f t="shared" si="124"/>
        <v>7</v>
      </c>
      <c r="M211" s="48">
        <f t="shared" si="124"/>
        <v>7</v>
      </c>
      <c r="N211" s="48">
        <f t="shared" si="126"/>
        <v>77</v>
      </c>
      <c r="O211" s="48">
        <f t="shared" si="126"/>
        <v>0</v>
      </c>
      <c r="P211" s="48">
        <f t="shared" si="126"/>
        <v>5</v>
      </c>
      <c r="Q211" s="48">
        <f t="shared" si="126"/>
        <v>10</v>
      </c>
      <c r="R211" s="48">
        <f t="shared" si="126"/>
        <v>75</v>
      </c>
      <c r="S211" s="48">
        <f t="shared" si="126"/>
        <v>300</v>
      </c>
      <c r="T211" s="48">
        <f t="shared" si="126"/>
        <v>50</v>
      </c>
    </row>
    <row r="212" spans="1:20" s="48" customFormat="1">
      <c r="A212" s="47">
        <v>432</v>
      </c>
      <c r="B212" s="47" t="str">
        <f t="shared" si="113"/>
        <v>残肢僵尸1散人精英</v>
      </c>
      <c r="C212" s="47" t="str">
        <f t="shared" si="114"/>
        <v>比奇矿区</v>
      </c>
      <c r="D212" s="48">
        <f t="shared" si="121"/>
        <v>8</v>
      </c>
      <c r="E212" s="48">
        <f t="shared" si="121"/>
        <v>18</v>
      </c>
      <c r="F212" s="48">
        <f t="shared" si="121"/>
        <v>0</v>
      </c>
      <c r="G212" s="48">
        <v>0</v>
      </c>
      <c r="H212" s="48">
        <f t="shared" si="122"/>
        <v>0</v>
      </c>
      <c r="I212" s="48">
        <f t="shared" si="122"/>
        <v>0</v>
      </c>
      <c r="J212" s="48">
        <f t="shared" si="123"/>
        <v>3</v>
      </c>
      <c r="K212" s="48">
        <f t="shared" si="123"/>
        <v>3</v>
      </c>
      <c r="L212" s="48">
        <f t="shared" si="124"/>
        <v>7</v>
      </c>
      <c r="M212" s="48">
        <f t="shared" si="124"/>
        <v>7</v>
      </c>
      <c r="N212" s="48">
        <f t="shared" si="126"/>
        <v>38</v>
      </c>
      <c r="O212" s="48">
        <f t="shared" si="126"/>
        <v>0</v>
      </c>
      <c r="P212" s="48">
        <f t="shared" si="126"/>
        <v>5</v>
      </c>
      <c r="Q212" s="48">
        <f t="shared" si="126"/>
        <v>10</v>
      </c>
      <c r="R212" s="48">
        <f t="shared" si="126"/>
        <v>75</v>
      </c>
      <c r="S212" s="48">
        <f t="shared" si="126"/>
        <v>300</v>
      </c>
      <c r="T212" s="48">
        <f t="shared" si="126"/>
        <v>50</v>
      </c>
    </row>
    <row r="213" spans="1:20" s="48" customFormat="1">
      <c r="A213" s="47">
        <v>433</v>
      </c>
      <c r="B213" s="47" t="str">
        <f t="shared" si="113"/>
        <v>直立僵尸2散人精英</v>
      </c>
      <c r="C213" s="47" t="str">
        <f t="shared" si="114"/>
        <v>比奇矿区</v>
      </c>
      <c r="D213" s="48">
        <f t="shared" si="121"/>
        <v>8</v>
      </c>
      <c r="E213" s="48">
        <f t="shared" si="121"/>
        <v>23</v>
      </c>
      <c r="F213" s="48">
        <f t="shared" si="121"/>
        <v>0</v>
      </c>
      <c r="G213" s="48">
        <v>0</v>
      </c>
      <c r="H213" s="48">
        <f t="shared" si="122"/>
        <v>0</v>
      </c>
      <c r="I213" s="48">
        <f t="shared" si="122"/>
        <v>0</v>
      </c>
      <c r="J213" s="48">
        <f t="shared" si="123"/>
        <v>3</v>
      </c>
      <c r="K213" s="48">
        <f t="shared" si="123"/>
        <v>3</v>
      </c>
      <c r="L213" s="48">
        <f t="shared" si="124"/>
        <v>7</v>
      </c>
      <c r="M213" s="48">
        <f t="shared" si="124"/>
        <v>7</v>
      </c>
      <c r="N213" s="48">
        <f t="shared" si="126"/>
        <v>38</v>
      </c>
      <c r="O213" s="48">
        <f t="shared" si="126"/>
        <v>0</v>
      </c>
      <c r="P213" s="48">
        <f t="shared" si="126"/>
        <v>5</v>
      </c>
      <c r="Q213" s="48">
        <f t="shared" si="126"/>
        <v>10</v>
      </c>
      <c r="R213" s="48">
        <f t="shared" si="126"/>
        <v>75</v>
      </c>
      <c r="S213" s="48">
        <f t="shared" si="126"/>
        <v>300</v>
      </c>
      <c r="T213" s="48">
        <f t="shared" si="126"/>
        <v>50</v>
      </c>
    </row>
    <row r="214" spans="1:20" s="48" customFormat="1">
      <c r="A214" s="47">
        <v>434</v>
      </c>
      <c r="B214" s="47" t="str">
        <f t="shared" si="113"/>
        <v>祖玛老鼠散人精英</v>
      </c>
      <c r="C214" s="47" t="str">
        <f t="shared" si="114"/>
        <v>祖玛寺庙</v>
      </c>
      <c r="D214" s="48">
        <f t="shared" si="121"/>
        <v>18</v>
      </c>
      <c r="E214" s="48">
        <f t="shared" si="121"/>
        <v>35</v>
      </c>
      <c r="F214" s="48">
        <f t="shared" si="121"/>
        <v>0</v>
      </c>
      <c r="G214" s="48">
        <v>0</v>
      </c>
      <c r="H214" s="48">
        <f t="shared" si="122"/>
        <v>0</v>
      </c>
      <c r="I214" s="48">
        <f t="shared" si="122"/>
        <v>0</v>
      </c>
      <c r="J214" s="48">
        <f t="shared" si="123"/>
        <v>4</v>
      </c>
      <c r="K214" s="48">
        <f t="shared" si="123"/>
        <v>4</v>
      </c>
      <c r="L214" s="48">
        <f t="shared" si="124"/>
        <v>13</v>
      </c>
      <c r="M214" s="48">
        <f t="shared" si="124"/>
        <v>13</v>
      </c>
      <c r="N214" s="48">
        <f t="shared" si="126"/>
        <v>385</v>
      </c>
      <c r="O214" s="48">
        <f t="shared" si="126"/>
        <v>0</v>
      </c>
      <c r="P214" s="48">
        <f t="shared" si="126"/>
        <v>12</v>
      </c>
      <c r="Q214" s="48">
        <f t="shared" si="126"/>
        <v>15</v>
      </c>
      <c r="R214" s="48">
        <f t="shared" si="126"/>
        <v>75</v>
      </c>
      <c r="S214" s="48">
        <f t="shared" si="126"/>
        <v>300</v>
      </c>
      <c r="T214" s="48">
        <f t="shared" si="126"/>
        <v>50</v>
      </c>
    </row>
    <row r="215" spans="1:20" s="48" customFormat="1">
      <c r="A215" s="47">
        <v>435</v>
      </c>
      <c r="B215" s="47" t="str">
        <f t="shared" si="113"/>
        <v>祖玛卫士弓散人精英</v>
      </c>
      <c r="C215" s="47" t="str">
        <f t="shared" si="114"/>
        <v>祖玛寺庙</v>
      </c>
      <c r="D215" s="48">
        <f t="shared" si="121"/>
        <v>18</v>
      </c>
      <c r="E215" s="48">
        <f t="shared" si="121"/>
        <v>27</v>
      </c>
      <c r="F215" s="48">
        <f t="shared" si="121"/>
        <v>0</v>
      </c>
      <c r="G215" s="48">
        <v>0</v>
      </c>
      <c r="H215" s="48">
        <f t="shared" si="122"/>
        <v>0</v>
      </c>
      <c r="I215" s="48">
        <f t="shared" si="122"/>
        <v>0</v>
      </c>
      <c r="J215" s="48">
        <f t="shared" si="123"/>
        <v>13</v>
      </c>
      <c r="K215" s="48">
        <f t="shared" si="123"/>
        <v>13</v>
      </c>
      <c r="L215" s="48">
        <f t="shared" si="124"/>
        <v>20</v>
      </c>
      <c r="M215" s="48">
        <f t="shared" si="124"/>
        <v>20</v>
      </c>
      <c r="N215" s="48">
        <f t="shared" si="126"/>
        <v>385</v>
      </c>
      <c r="O215" s="48">
        <f t="shared" si="126"/>
        <v>0</v>
      </c>
      <c r="P215" s="48">
        <f t="shared" si="126"/>
        <v>15</v>
      </c>
      <c r="Q215" s="48">
        <f t="shared" si="126"/>
        <v>15</v>
      </c>
      <c r="R215" s="48">
        <f t="shared" si="126"/>
        <v>75</v>
      </c>
      <c r="S215" s="48">
        <f t="shared" si="126"/>
        <v>300</v>
      </c>
      <c r="T215" s="48">
        <f t="shared" si="126"/>
        <v>50</v>
      </c>
    </row>
    <row r="216" spans="1:20" s="48" customFormat="1">
      <c r="A216" s="47">
        <v>436</v>
      </c>
      <c r="B216" s="47" t="str">
        <f t="shared" si="113"/>
        <v>祖玛卫士枪散人精英</v>
      </c>
      <c r="C216" s="47" t="str">
        <f t="shared" ref="C216:C231" si="127">C104</f>
        <v>祖玛寺庙</v>
      </c>
      <c r="D216" s="48">
        <f t="shared" ref="D216:I216" si="128">ROUND(D48*1.5,0)</f>
        <v>30</v>
      </c>
      <c r="E216" s="48">
        <f t="shared" si="128"/>
        <v>48</v>
      </c>
      <c r="F216" s="48">
        <f t="shared" si="128"/>
        <v>0</v>
      </c>
      <c r="G216" s="48">
        <v>0</v>
      </c>
      <c r="H216" s="48">
        <f t="shared" si="128"/>
        <v>0</v>
      </c>
      <c r="I216" s="48">
        <f t="shared" si="128"/>
        <v>0</v>
      </c>
      <c r="J216" s="48">
        <f t="shared" ref="J216:K216" si="129">ROUND(J48*1.3,0)</f>
        <v>16</v>
      </c>
      <c r="K216" s="48">
        <f t="shared" si="129"/>
        <v>16</v>
      </c>
      <c r="L216" s="48">
        <f t="shared" ref="L216:M216" si="130">ROUND(L48*1.5+5,0)</f>
        <v>23</v>
      </c>
      <c r="M216" s="48">
        <f t="shared" si="130"/>
        <v>23</v>
      </c>
      <c r="N216" s="48">
        <f t="shared" ref="N216:O220" si="131">N48</f>
        <v>495</v>
      </c>
      <c r="O216" s="48">
        <f t="shared" si="131"/>
        <v>0</v>
      </c>
      <c r="P216" s="48">
        <f t="shared" ref="P216:T216" si="132">P48</f>
        <v>15</v>
      </c>
      <c r="Q216" s="48">
        <f t="shared" si="132"/>
        <v>17</v>
      </c>
      <c r="R216" s="48">
        <f t="shared" si="132"/>
        <v>75</v>
      </c>
      <c r="S216" s="48">
        <f t="shared" si="132"/>
        <v>300</v>
      </c>
      <c r="T216" s="48">
        <f t="shared" si="132"/>
        <v>50</v>
      </c>
    </row>
    <row r="217" spans="1:20" s="48" customFormat="1">
      <c r="A217" s="47">
        <v>437</v>
      </c>
      <c r="B217" s="47" t="str">
        <f t="shared" si="113"/>
        <v>祖玛卫士锤散人精英</v>
      </c>
      <c r="C217" s="47" t="str">
        <f t="shared" si="127"/>
        <v>祖玛寺庙</v>
      </c>
      <c r="D217" s="48">
        <f t="shared" ref="D217:I217" si="133">ROUND(D49*1.5,0)</f>
        <v>33</v>
      </c>
      <c r="E217" s="48">
        <f t="shared" si="133"/>
        <v>51</v>
      </c>
      <c r="F217" s="48">
        <f t="shared" si="133"/>
        <v>0</v>
      </c>
      <c r="G217" s="48">
        <v>0</v>
      </c>
      <c r="H217" s="48">
        <f t="shared" si="133"/>
        <v>0</v>
      </c>
      <c r="I217" s="48">
        <f t="shared" si="133"/>
        <v>0</v>
      </c>
      <c r="J217" s="48">
        <f t="shared" ref="J217:K217" si="134">ROUND(J49*1.3,0)</f>
        <v>20</v>
      </c>
      <c r="K217" s="48">
        <f t="shared" si="134"/>
        <v>20</v>
      </c>
      <c r="L217" s="48">
        <f t="shared" ref="L217:M217" si="135">ROUND(L49*1.5+5,0)</f>
        <v>28</v>
      </c>
      <c r="M217" s="48">
        <f t="shared" si="135"/>
        <v>28</v>
      </c>
      <c r="N217" s="48">
        <f t="shared" si="131"/>
        <v>495</v>
      </c>
      <c r="O217" s="48">
        <f t="shared" si="131"/>
        <v>0</v>
      </c>
      <c r="P217" s="48">
        <f t="shared" ref="P217:T217" si="136">P49</f>
        <v>15</v>
      </c>
      <c r="Q217" s="48">
        <f t="shared" si="136"/>
        <v>17</v>
      </c>
      <c r="R217" s="48">
        <f t="shared" si="136"/>
        <v>75</v>
      </c>
      <c r="S217" s="48">
        <f t="shared" si="136"/>
        <v>300</v>
      </c>
      <c r="T217" s="48">
        <f t="shared" si="136"/>
        <v>50</v>
      </c>
    </row>
    <row r="218" spans="1:20" s="48" customFormat="1">
      <c r="A218" s="47">
        <v>441</v>
      </c>
      <c r="B218" s="47" t="str">
        <f t="shared" si="113"/>
        <v>角蝇巢穴散人精英</v>
      </c>
      <c r="C218" s="47" t="str">
        <f t="shared" si="127"/>
        <v>祖玛寺庙</v>
      </c>
      <c r="D218" s="48">
        <f t="shared" ref="D218:I218" si="137">ROUND(D50*1.5,0)</f>
        <v>0</v>
      </c>
      <c r="E218" s="48">
        <f t="shared" si="137"/>
        <v>0</v>
      </c>
      <c r="F218" s="48">
        <f t="shared" si="137"/>
        <v>0</v>
      </c>
      <c r="G218" s="48">
        <v>0</v>
      </c>
      <c r="H218" s="48">
        <f t="shared" si="137"/>
        <v>0</v>
      </c>
      <c r="I218" s="48">
        <f t="shared" si="137"/>
        <v>0</v>
      </c>
      <c r="J218" s="48">
        <f t="shared" ref="J218:K218" si="138">ROUND(J50*1.3,0)</f>
        <v>0</v>
      </c>
      <c r="K218" s="48">
        <f t="shared" si="138"/>
        <v>0</v>
      </c>
      <c r="L218" s="48">
        <f t="shared" ref="L218:M218" si="139">ROUND(L50*1.5+5,0)</f>
        <v>14</v>
      </c>
      <c r="M218" s="48">
        <f t="shared" si="139"/>
        <v>14</v>
      </c>
      <c r="N218" s="48">
        <f t="shared" si="131"/>
        <v>200</v>
      </c>
      <c r="O218" s="48">
        <f t="shared" si="131"/>
        <v>0</v>
      </c>
      <c r="P218" s="48">
        <f t="shared" ref="P218:T218" si="140">P50</f>
        <v>1</v>
      </c>
      <c r="Q218" s="48">
        <f t="shared" si="140"/>
        <v>1</v>
      </c>
      <c r="R218" s="48">
        <f t="shared" si="140"/>
        <v>75</v>
      </c>
      <c r="S218" s="48">
        <f t="shared" si="140"/>
        <v>300</v>
      </c>
      <c r="T218" s="48">
        <f t="shared" si="140"/>
        <v>50</v>
      </c>
    </row>
    <row r="219" spans="1:20" s="48" customFormat="1">
      <c r="A219" s="47">
        <v>439</v>
      </c>
      <c r="B219" s="47" t="str">
        <f t="shared" si="113"/>
        <v>角蝇散人精英</v>
      </c>
      <c r="C219" s="47" t="str">
        <f t="shared" si="127"/>
        <v>祖玛寺庙</v>
      </c>
      <c r="D219" s="48">
        <f t="shared" ref="D219:I219" si="141">ROUND(D51*1.5,0)</f>
        <v>0</v>
      </c>
      <c r="E219" s="48">
        <f t="shared" si="141"/>
        <v>33</v>
      </c>
      <c r="F219" s="48">
        <f t="shared" si="141"/>
        <v>0</v>
      </c>
      <c r="G219" s="48">
        <v>0</v>
      </c>
      <c r="H219" s="48">
        <f t="shared" si="141"/>
        <v>0</v>
      </c>
      <c r="I219" s="48">
        <f t="shared" si="141"/>
        <v>0</v>
      </c>
      <c r="J219" s="48">
        <f t="shared" ref="J219:K219" si="142">ROUND(J51*1.3,0)</f>
        <v>0</v>
      </c>
      <c r="K219" s="48">
        <f t="shared" si="142"/>
        <v>0</v>
      </c>
      <c r="L219" s="48">
        <f t="shared" ref="L219:M219" si="143">ROUND(L51*1.5+5,0)</f>
        <v>5</v>
      </c>
      <c r="M219" s="48">
        <f t="shared" si="143"/>
        <v>5</v>
      </c>
      <c r="N219" s="48">
        <f t="shared" si="131"/>
        <v>3</v>
      </c>
      <c r="O219" s="48">
        <f t="shared" si="131"/>
        <v>0</v>
      </c>
      <c r="P219" s="48">
        <f t="shared" ref="P219:T219" si="144">P51</f>
        <v>18</v>
      </c>
      <c r="Q219" s="48">
        <f t="shared" si="144"/>
        <v>5</v>
      </c>
      <c r="R219" s="48">
        <f t="shared" si="144"/>
        <v>75</v>
      </c>
      <c r="S219" s="48">
        <f t="shared" si="144"/>
        <v>300</v>
      </c>
      <c r="T219" s="48">
        <f t="shared" si="144"/>
        <v>50</v>
      </c>
    </row>
    <row r="220" spans="1:20" s="48" customFormat="1">
      <c r="A220" s="47">
        <v>440</v>
      </c>
      <c r="B220" s="47" t="str">
        <f t="shared" si="113"/>
        <v>楔蛾散人精英</v>
      </c>
      <c r="C220" s="47" t="str">
        <f t="shared" si="127"/>
        <v>祖玛寺庙</v>
      </c>
      <c r="D220" s="48">
        <f t="shared" ref="D220:I220" si="145">ROUND(D52*1.5,0)</f>
        <v>20</v>
      </c>
      <c r="E220" s="48">
        <f t="shared" si="145"/>
        <v>27</v>
      </c>
      <c r="F220" s="48">
        <f t="shared" si="145"/>
        <v>0</v>
      </c>
      <c r="G220" s="48">
        <v>0</v>
      </c>
      <c r="H220" s="48">
        <f t="shared" si="145"/>
        <v>0</v>
      </c>
      <c r="I220" s="48">
        <f t="shared" si="145"/>
        <v>0</v>
      </c>
      <c r="J220" s="48">
        <f t="shared" ref="J220:K220" si="146">ROUND(J52*1.3,0)</f>
        <v>0</v>
      </c>
      <c r="K220" s="48">
        <f t="shared" si="146"/>
        <v>0</v>
      </c>
      <c r="L220" s="48">
        <f t="shared" ref="L220:M220" si="147">ROUND(L52*1.5+5,0)</f>
        <v>13</v>
      </c>
      <c r="M220" s="48">
        <f t="shared" si="147"/>
        <v>13</v>
      </c>
      <c r="N220" s="48">
        <f t="shared" si="131"/>
        <v>220</v>
      </c>
      <c r="O220" s="48">
        <f t="shared" si="131"/>
        <v>0</v>
      </c>
      <c r="P220" s="48">
        <f t="shared" ref="P220:T220" si="148">P52</f>
        <v>15</v>
      </c>
      <c r="Q220" s="48">
        <f t="shared" si="148"/>
        <v>17</v>
      </c>
      <c r="R220" s="48">
        <f t="shared" si="148"/>
        <v>75</v>
      </c>
      <c r="S220" s="48">
        <f t="shared" si="148"/>
        <v>300</v>
      </c>
      <c r="T220" s="48">
        <f t="shared" si="148"/>
        <v>50</v>
      </c>
    </row>
    <row r="221" spans="1:20" s="48" customFormat="1">
      <c r="A221" s="47">
        <v>442</v>
      </c>
      <c r="B221" s="47" t="str">
        <f t="shared" ref="B221:B231" si="149">B53&amp;"散人精英"</f>
        <v>鹰卫散人精英</v>
      </c>
      <c r="C221" s="47" t="str">
        <f t="shared" si="127"/>
        <v>赤月峡谷</v>
      </c>
      <c r="D221" s="48">
        <f t="shared" ref="D221:F221" si="150">ROUND(D53*1.5,0)</f>
        <v>45</v>
      </c>
      <c r="E221" s="48">
        <f t="shared" si="150"/>
        <v>75</v>
      </c>
      <c r="F221" s="48">
        <f t="shared" si="150"/>
        <v>0</v>
      </c>
      <c r="G221" s="48">
        <v>1</v>
      </c>
      <c r="H221" s="48">
        <f t="shared" ref="H221:I221" si="151">ROUND(H53*1.5,0)</f>
        <v>0</v>
      </c>
      <c r="I221" s="48">
        <f t="shared" si="151"/>
        <v>0</v>
      </c>
      <c r="J221" s="48">
        <f t="shared" ref="J221:K221" si="152">ROUND(J53*1.3,0)</f>
        <v>20</v>
      </c>
      <c r="K221" s="48">
        <f t="shared" si="152"/>
        <v>20</v>
      </c>
      <c r="L221" s="48">
        <f t="shared" ref="L221:M221" si="153">ROUND(L53*1.5+5,0)</f>
        <v>32</v>
      </c>
      <c r="M221" s="48">
        <f t="shared" si="153"/>
        <v>32</v>
      </c>
      <c r="N221" s="48">
        <f t="shared" ref="N221:T221" si="154">N53</f>
        <v>1500</v>
      </c>
      <c r="O221" s="48">
        <f t="shared" si="154"/>
        <v>0</v>
      </c>
      <c r="P221" s="48">
        <f t="shared" si="154"/>
        <v>15</v>
      </c>
      <c r="Q221" s="48">
        <f t="shared" si="154"/>
        <v>20</v>
      </c>
      <c r="R221" s="48">
        <f t="shared" si="154"/>
        <v>75</v>
      </c>
      <c r="S221" s="48">
        <f t="shared" si="154"/>
        <v>300</v>
      </c>
      <c r="T221" s="48">
        <f t="shared" si="154"/>
        <v>50</v>
      </c>
    </row>
    <row r="222" spans="1:20" s="48" customFormat="1">
      <c r="A222" s="47">
        <v>443</v>
      </c>
      <c r="B222" s="47" t="str">
        <f t="shared" si="149"/>
        <v>月魔蜘蛛散人精英</v>
      </c>
      <c r="C222" s="47" t="str">
        <f t="shared" si="127"/>
        <v>赤月峡谷</v>
      </c>
      <c r="D222" s="48">
        <f t="shared" ref="D222:F222" si="155">ROUND(D54*1.5,0)</f>
        <v>41</v>
      </c>
      <c r="E222" s="48">
        <f t="shared" si="155"/>
        <v>41</v>
      </c>
      <c r="F222" s="48">
        <f t="shared" si="155"/>
        <v>0</v>
      </c>
      <c r="G222" s="48">
        <v>2</v>
      </c>
      <c r="H222" s="48">
        <f t="shared" ref="H222:I222" si="156">ROUND(H54*1.5,0)</f>
        <v>0</v>
      </c>
      <c r="I222" s="48">
        <f t="shared" si="156"/>
        <v>0</v>
      </c>
      <c r="J222" s="48">
        <f t="shared" ref="J222:K222" si="157">ROUND(J54*1.3,0)</f>
        <v>16</v>
      </c>
      <c r="K222" s="48">
        <f t="shared" si="157"/>
        <v>16</v>
      </c>
      <c r="L222" s="48">
        <f t="shared" ref="L222:M222" si="158">ROUND(L54*1.5+5,0)</f>
        <v>47</v>
      </c>
      <c r="M222" s="48">
        <f t="shared" si="158"/>
        <v>47</v>
      </c>
      <c r="N222" s="48">
        <f t="shared" ref="N222:T222" si="159">N54</f>
        <v>850</v>
      </c>
      <c r="O222" s="48">
        <f t="shared" si="159"/>
        <v>0</v>
      </c>
      <c r="P222" s="48">
        <f t="shared" si="159"/>
        <v>50</v>
      </c>
      <c r="Q222" s="48">
        <f t="shared" si="159"/>
        <v>20</v>
      </c>
      <c r="R222" s="48">
        <f t="shared" si="159"/>
        <v>75</v>
      </c>
      <c r="S222" s="48">
        <f t="shared" si="159"/>
        <v>300</v>
      </c>
      <c r="T222" s="48">
        <f t="shared" si="159"/>
        <v>50</v>
      </c>
    </row>
    <row r="223" spans="1:20" s="48" customFormat="1">
      <c r="A223" s="47">
        <v>444</v>
      </c>
      <c r="B223" s="47" t="str">
        <f t="shared" si="149"/>
        <v>天狼蜘蛛散人精英</v>
      </c>
      <c r="C223" s="47" t="str">
        <f t="shared" si="127"/>
        <v>赤月峡谷</v>
      </c>
      <c r="D223" s="48">
        <f t="shared" ref="D223:F223" si="160">ROUND(D55*1.5,0)</f>
        <v>33</v>
      </c>
      <c r="E223" s="48">
        <f t="shared" si="160"/>
        <v>51</v>
      </c>
      <c r="F223" s="48">
        <f t="shared" si="160"/>
        <v>0</v>
      </c>
      <c r="G223" s="48">
        <v>3</v>
      </c>
      <c r="H223" s="48">
        <f t="shared" ref="H223:I223" si="161">ROUND(H55*1.5,0)</f>
        <v>0</v>
      </c>
      <c r="I223" s="48">
        <f t="shared" si="161"/>
        <v>0</v>
      </c>
      <c r="J223" s="48">
        <f t="shared" ref="J223:K223" si="162">ROUND(J55*1.3,0)</f>
        <v>10</v>
      </c>
      <c r="K223" s="48">
        <f t="shared" si="162"/>
        <v>10</v>
      </c>
      <c r="L223" s="48">
        <f t="shared" ref="L223:M223" si="163">ROUND(L55*1.5+5,0)</f>
        <v>35</v>
      </c>
      <c r="M223" s="48">
        <f t="shared" si="163"/>
        <v>35</v>
      </c>
      <c r="N223" s="48">
        <f t="shared" ref="N223:T223" si="164">N55</f>
        <v>500</v>
      </c>
      <c r="O223" s="48">
        <f t="shared" si="164"/>
        <v>0</v>
      </c>
      <c r="P223" s="48">
        <f t="shared" si="164"/>
        <v>15</v>
      </c>
      <c r="Q223" s="48">
        <f t="shared" si="164"/>
        <v>17</v>
      </c>
      <c r="R223" s="48">
        <f t="shared" si="164"/>
        <v>75</v>
      </c>
      <c r="S223" s="48">
        <f t="shared" si="164"/>
        <v>300</v>
      </c>
      <c r="T223" s="48">
        <f t="shared" si="164"/>
        <v>50</v>
      </c>
    </row>
    <row r="224" spans="1:20" s="48" customFormat="1">
      <c r="A224" s="47">
        <v>445</v>
      </c>
      <c r="B224" s="47" t="str">
        <f t="shared" si="149"/>
        <v>钢牙蜘蛛散人精英</v>
      </c>
      <c r="C224" s="47" t="str">
        <f t="shared" si="127"/>
        <v>赤月峡谷</v>
      </c>
      <c r="D224" s="48">
        <f t="shared" ref="D224:F224" si="165">ROUND(D56*1.5,0)</f>
        <v>53</v>
      </c>
      <c r="E224" s="48">
        <f t="shared" si="165"/>
        <v>75</v>
      </c>
      <c r="F224" s="48">
        <f t="shared" si="165"/>
        <v>0</v>
      </c>
      <c r="G224" s="48">
        <v>4</v>
      </c>
      <c r="H224" s="48">
        <f t="shared" ref="H224:I224" si="166">ROUND(H56*1.5,0)</f>
        <v>0</v>
      </c>
      <c r="I224" s="48">
        <f t="shared" si="166"/>
        <v>0</v>
      </c>
      <c r="J224" s="48">
        <f t="shared" ref="J224:K224" si="167">ROUND(J56*1.3,0)</f>
        <v>17</v>
      </c>
      <c r="K224" s="48">
        <f t="shared" si="167"/>
        <v>17</v>
      </c>
      <c r="L224" s="48">
        <f t="shared" ref="L224:M224" si="168">ROUND(L56*1.5+5,0)</f>
        <v>55</v>
      </c>
      <c r="M224" s="48">
        <f t="shared" si="168"/>
        <v>55</v>
      </c>
      <c r="N224" s="48">
        <f t="shared" ref="N224:T224" si="169">N56</f>
        <v>800</v>
      </c>
      <c r="O224" s="48">
        <f t="shared" si="169"/>
        <v>0</v>
      </c>
      <c r="P224" s="48">
        <f t="shared" si="169"/>
        <v>20</v>
      </c>
      <c r="Q224" s="48">
        <f t="shared" si="169"/>
        <v>17</v>
      </c>
      <c r="R224" s="48">
        <f t="shared" si="169"/>
        <v>75</v>
      </c>
      <c r="S224" s="48">
        <f t="shared" si="169"/>
        <v>300</v>
      </c>
      <c r="T224" s="48">
        <f t="shared" si="169"/>
        <v>50</v>
      </c>
    </row>
    <row r="225" spans="1:20" s="48" customFormat="1">
      <c r="A225" s="47">
        <v>446</v>
      </c>
      <c r="B225" s="47" t="str">
        <f t="shared" si="149"/>
        <v>花吻蜘蛛散人精英</v>
      </c>
      <c r="C225" s="47" t="str">
        <f t="shared" si="127"/>
        <v>赤月峡谷</v>
      </c>
      <c r="D225" s="48">
        <f t="shared" ref="D225:F225" si="170">ROUND(D57*1.5,0)</f>
        <v>30</v>
      </c>
      <c r="E225" s="48">
        <f t="shared" si="170"/>
        <v>90</v>
      </c>
      <c r="F225" s="48">
        <f t="shared" si="170"/>
        <v>0</v>
      </c>
      <c r="G225" s="48">
        <v>5</v>
      </c>
      <c r="H225" s="48">
        <f t="shared" ref="H225:I225" si="171">ROUND(H57*1.5,0)</f>
        <v>0</v>
      </c>
      <c r="I225" s="48">
        <f t="shared" si="171"/>
        <v>0</v>
      </c>
      <c r="J225" s="48">
        <f t="shared" ref="J225:K225" si="172">ROUND(J57*1.3,0)</f>
        <v>16</v>
      </c>
      <c r="K225" s="48">
        <f t="shared" si="172"/>
        <v>16</v>
      </c>
      <c r="L225" s="48">
        <f t="shared" ref="L225:M225" si="173">ROUND(L57*1.5+5,0)</f>
        <v>46</v>
      </c>
      <c r="M225" s="48">
        <f t="shared" si="173"/>
        <v>46</v>
      </c>
      <c r="N225" s="48">
        <f t="shared" ref="N225:T225" si="174">N57</f>
        <v>750</v>
      </c>
      <c r="O225" s="48">
        <f t="shared" si="174"/>
        <v>0</v>
      </c>
      <c r="P225" s="48">
        <f t="shared" si="174"/>
        <v>17</v>
      </c>
      <c r="Q225" s="48">
        <f t="shared" si="174"/>
        <v>25</v>
      </c>
      <c r="R225" s="48">
        <f t="shared" si="174"/>
        <v>75</v>
      </c>
      <c r="S225" s="48">
        <f t="shared" si="174"/>
        <v>300</v>
      </c>
      <c r="T225" s="48">
        <f t="shared" si="174"/>
        <v>50</v>
      </c>
    </row>
    <row r="226" spans="1:20" s="48" customFormat="1">
      <c r="A226" s="47">
        <v>447</v>
      </c>
      <c r="B226" s="47" t="str">
        <f t="shared" si="149"/>
        <v>黑锷蜘蛛散人精英</v>
      </c>
      <c r="C226" s="47" t="str">
        <f t="shared" si="127"/>
        <v>赤月峡谷</v>
      </c>
      <c r="D226" s="48">
        <f t="shared" ref="D226:F226" si="175">ROUND(D58*1.5,0)</f>
        <v>23</v>
      </c>
      <c r="E226" s="48">
        <f t="shared" si="175"/>
        <v>113</v>
      </c>
      <c r="F226" s="48">
        <f t="shared" si="175"/>
        <v>0</v>
      </c>
      <c r="G226" s="48">
        <v>6</v>
      </c>
      <c r="H226" s="48">
        <f t="shared" ref="H226:I226" si="176">ROUND(H58*1.5,0)</f>
        <v>0</v>
      </c>
      <c r="I226" s="48">
        <f t="shared" si="176"/>
        <v>0</v>
      </c>
      <c r="J226" s="48">
        <f t="shared" ref="J226:K226" si="177">ROUND(J58*1.3,0)</f>
        <v>14</v>
      </c>
      <c r="K226" s="48">
        <f t="shared" si="177"/>
        <v>14</v>
      </c>
      <c r="L226" s="48">
        <f t="shared" ref="L226:M226" si="178">ROUND(L58*1.5+5,0)</f>
        <v>50</v>
      </c>
      <c r="M226" s="48">
        <f t="shared" si="178"/>
        <v>50</v>
      </c>
      <c r="N226" s="48">
        <f t="shared" ref="N226:T226" si="179">N58</f>
        <v>1200</v>
      </c>
      <c r="O226" s="48">
        <f t="shared" si="179"/>
        <v>0</v>
      </c>
      <c r="P226" s="48">
        <f t="shared" si="179"/>
        <v>17</v>
      </c>
      <c r="Q226" s="48">
        <f t="shared" si="179"/>
        <v>17</v>
      </c>
      <c r="R226" s="48">
        <f t="shared" si="179"/>
        <v>75</v>
      </c>
      <c r="S226" s="48">
        <f t="shared" si="179"/>
        <v>300</v>
      </c>
      <c r="T226" s="48">
        <f t="shared" si="179"/>
        <v>50</v>
      </c>
    </row>
    <row r="227" spans="1:20" s="48" customFormat="1">
      <c r="A227" s="47">
        <v>448</v>
      </c>
      <c r="B227" s="47" t="str">
        <f t="shared" si="149"/>
        <v>幻影蜘蛛散人精英</v>
      </c>
      <c r="C227" s="47" t="str">
        <f t="shared" si="127"/>
        <v>赤月峡谷</v>
      </c>
      <c r="D227" s="48">
        <f t="shared" ref="D227:F227" si="180">ROUND(D59*1.5,0)</f>
        <v>0</v>
      </c>
      <c r="E227" s="48">
        <f t="shared" si="180"/>
        <v>0</v>
      </c>
      <c r="F227" s="48">
        <f t="shared" si="180"/>
        <v>0</v>
      </c>
      <c r="G227" s="48">
        <v>7</v>
      </c>
      <c r="H227" s="48">
        <f t="shared" ref="H227:I227" si="181">ROUND(H59*1.5,0)</f>
        <v>0</v>
      </c>
      <c r="I227" s="48">
        <f t="shared" si="181"/>
        <v>0</v>
      </c>
      <c r="J227" s="48">
        <f t="shared" ref="J227:K227" si="182">ROUND(J59*1.3,0)</f>
        <v>13</v>
      </c>
      <c r="K227" s="48">
        <f t="shared" si="182"/>
        <v>13</v>
      </c>
      <c r="L227" s="48">
        <f t="shared" ref="L227:M227" si="183">ROUND(L59*1.5+5,0)</f>
        <v>40</v>
      </c>
      <c r="M227" s="48">
        <f t="shared" si="183"/>
        <v>40</v>
      </c>
      <c r="N227" s="48">
        <f t="shared" ref="N227:T227" si="184">N59</f>
        <v>1200</v>
      </c>
      <c r="O227" s="48">
        <f t="shared" si="184"/>
        <v>0</v>
      </c>
      <c r="P227" s="48">
        <f t="shared" si="184"/>
        <v>1</v>
      </c>
      <c r="Q227" s="48">
        <f t="shared" si="184"/>
        <v>1</v>
      </c>
      <c r="R227" s="48">
        <f t="shared" si="184"/>
        <v>75</v>
      </c>
      <c r="S227" s="48">
        <f t="shared" si="184"/>
        <v>300</v>
      </c>
      <c r="T227" s="48">
        <f t="shared" si="184"/>
        <v>50</v>
      </c>
    </row>
    <row r="228" spans="1:20" s="48" customFormat="1">
      <c r="A228" s="47">
        <v>449</v>
      </c>
      <c r="B228" s="47" t="str">
        <f t="shared" si="149"/>
        <v>爆裂蜘蛛散人精英</v>
      </c>
      <c r="C228" s="47" t="str">
        <f t="shared" si="127"/>
        <v>赤月峡谷</v>
      </c>
      <c r="D228" s="48">
        <f t="shared" ref="D228:F228" si="185">ROUND(D60*1.5,0)</f>
        <v>30</v>
      </c>
      <c r="E228" s="48">
        <f t="shared" si="185"/>
        <v>30</v>
      </c>
      <c r="F228" s="48">
        <f t="shared" si="185"/>
        <v>0</v>
      </c>
      <c r="G228" s="48">
        <v>8</v>
      </c>
      <c r="H228" s="48">
        <f t="shared" ref="H228:I228" si="186">ROUND(H60*1.5,0)</f>
        <v>0</v>
      </c>
      <c r="I228" s="48">
        <f t="shared" si="186"/>
        <v>0</v>
      </c>
      <c r="J228" s="48">
        <f t="shared" ref="J228:K228" si="187">ROUND(J60*1.3,0)</f>
        <v>0</v>
      </c>
      <c r="K228" s="48">
        <f t="shared" si="187"/>
        <v>0</v>
      </c>
      <c r="L228" s="48">
        <f t="shared" ref="L228:M228" si="188">ROUND(L60*1.5+5,0)</f>
        <v>5</v>
      </c>
      <c r="M228" s="48">
        <f t="shared" si="188"/>
        <v>5</v>
      </c>
      <c r="N228" s="48">
        <f t="shared" ref="N228:T228" si="189">N60</f>
        <v>10</v>
      </c>
      <c r="O228" s="48">
        <f t="shared" si="189"/>
        <v>0</v>
      </c>
      <c r="P228" s="48">
        <f t="shared" si="189"/>
        <v>30</v>
      </c>
      <c r="Q228" s="48">
        <f t="shared" si="189"/>
        <v>30</v>
      </c>
      <c r="R228" s="48">
        <f t="shared" si="189"/>
        <v>75</v>
      </c>
      <c r="S228" s="48">
        <f t="shared" si="189"/>
        <v>300</v>
      </c>
      <c r="T228" s="48">
        <f t="shared" si="189"/>
        <v>50</v>
      </c>
    </row>
    <row r="229" spans="1:20" s="48" customFormat="1">
      <c r="A229" s="47">
        <v>450</v>
      </c>
      <c r="B229" s="47" t="str">
        <f t="shared" si="149"/>
        <v>血巨人散人精英</v>
      </c>
      <c r="C229" s="47" t="str">
        <f t="shared" si="127"/>
        <v>赤月峡谷</v>
      </c>
      <c r="D229" s="48">
        <f t="shared" ref="D229:F229" si="190">ROUND(D61*1.5,0)</f>
        <v>53</v>
      </c>
      <c r="E229" s="48">
        <f t="shared" si="190"/>
        <v>105</v>
      </c>
      <c r="F229" s="48">
        <f t="shared" si="190"/>
        <v>0</v>
      </c>
      <c r="G229" s="48">
        <v>9</v>
      </c>
      <c r="H229" s="48">
        <f t="shared" ref="H229:I229" si="191">ROUND(H61*1.5,0)</f>
        <v>0</v>
      </c>
      <c r="I229" s="48">
        <f t="shared" si="191"/>
        <v>0</v>
      </c>
      <c r="J229" s="48">
        <f t="shared" ref="J229:K229" si="192">ROUND(J61*1.3,0)</f>
        <v>20</v>
      </c>
      <c r="K229" s="48">
        <f t="shared" si="192"/>
        <v>20</v>
      </c>
      <c r="L229" s="48">
        <f t="shared" ref="L229:M229" si="193">ROUND(L61*1.5+5,0)</f>
        <v>50</v>
      </c>
      <c r="M229" s="48">
        <f t="shared" si="193"/>
        <v>50</v>
      </c>
      <c r="N229" s="48">
        <f t="shared" ref="N229:T229" si="194">N61</f>
        <v>1200</v>
      </c>
      <c r="O229" s="48">
        <f t="shared" si="194"/>
        <v>0</v>
      </c>
      <c r="P229" s="48">
        <f t="shared" si="194"/>
        <v>17</v>
      </c>
      <c r="Q229" s="48">
        <f t="shared" si="194"/>
        <v>20</v>
      </c>
      <c r="R229" s="48">
        <f t="shared" si="194"/>
        <v>75</v>
      </c>
      <c r="S229" s="48">
        <f t="shared" si="194"/>
        <v>300</v>
      </c>
      <c r="T229" s="48">
        <f t="shared" si="194"/>
        <v>50</v>
      </c>
    </row>
    <row r="230" spans="1:20" s="48" customFormat="1">
      <c r="A230" s="47">
        <v>451</v>
      </c>
      <c r="B230" s="47" t="str">
        <f t="shared" si="149"/>
        <v>血僵尸散人精英</v>
      </c>
      <c r="C230" s="47" t="str">
        <f t="shared" si="127"/>
        <v>赤月峡谷</v>
      </c>
      <c r="D230" s="48">
        <f t="shared" ref="D230:F231" si="195">ROUND(D62*1.5,0)</f>
        <v>53</v>
      </c>
      <c r="E230" s="48">
        <f t="shared" si="195"/>
        <v>75</v>
      </c>
      <c r="F230" s="48">
        <f t="shared" si="195"/>
        <v>0</v>
      </c>
      <c r="G230" s="48">
        <v>10</v>
      </c>
      <c r="H230" s="48">
        <f t="shared" ref="H230:I231" si="196">ROUND(H62*1.5,0)</f>
        <v>0</v>
      </c>
      <c r="I230" s="48">
        <f t="shared" si="196"/>
        <v>0</v>
      </c>
      <c r="J230" s="48">
        <f t="shared" ref="J230:K231" si="197">ROUND(J62*1.3,0)</f>
        <v>23</v>
      </c>
      <c r="K230" s="48">
        <f t="shared" si="197"/>
        <v>23</v>
      </c>
      <c r="L230" s="48">
        <f t="shared" ref="L230:M231" si="198">ROUND(L62*1.5+5,0)</f>
        <v>50</v>
      </c>
      <c r="M230" s="48">
        <f t="shared" si="198"/>
        <v>50</v>
      </c>
      <c r="N230" s="48">
        <f t="shared" ref="N230:T231" si="199">N62</f>
        <v>1200</v>
      </c>
      <c r="O230" s="48">
        <f t="shared" si="199"/>
        <v>0</v>
      </c>
      <c r="P230" s="48">
        <f t="shared" si="199"/>
        <v>25</v>
      </c>
      <c r="Q230" s="48">
        <f t="shared" si="199"/>
        <v>10</v>
      </c>
      <c r="R230" s="48">
        <f t="shared" si="199"/>
        <v>75</v>
      </c>
      <c r="S230" s="48">
        <f t="shared" si="199"/>
        <v>300</v>
      </c>
      <c r="T230" s="48">
        <f t="shared" si="199"/>
        <v>50</v>
      </c>
    </row>
    <row r="231" spans="1:20" s="48" customFormat="1">
      <c r="A231" s="47">
        <v>452</v>
      </c>
      <c r="B231" s="47" t="str">
        <f t="shared" si="149"/>
        <v>暴牙蜘蛛散人精英</v>
      </c>
      <c r="C231" s="47" t="str">
        <f t="shared" si="127"/>
        <v>赤月峡谷</v>
      </c>
      <c r="D231" s="48">
        <f t="shared" si="195"/>
        <v>33</v>
      </c>
      <c r="E231" s="48">
        <f t="shared" si="195"/>
        <v>51</v>
      </c>
      <c r="F231" s="48">
        <f t="shared" si="195"/>
        <v>0</v>
      </c>
      <c r="G231" s="48">
        <v>11</v>
      </c>
      <c r="H231" s="48">
        <f t="shared" si="196"/>
        <v>0</v>
      </c>
      <c r="I231" s="48">
        <f t="shared" si="196"/>
        <v>0</v>
      </c>
      <c r="J231" s="48">
        <f t="shared" si="197"/>
        <v>16</v>
      </c>
      <c r="K231" s="48">
        <f t="shared" si="197"/>
        <v>16</v>
      </c>
      <c r="L231" s="48">
        <f t="shared" si="198"/>
        <v>50</v>
      </c>
      <c r="M231" s="48">
        <f t="shared" si="198"/>
        <v>50</v>
      </c>
      <c r="N231" s="48">
        <f t="shared" si="199"/>
        <v>500</v>
      </c>
      <c r="O231" s="48">
        <f t="shared" si="199"/>
        <v>0</v>
      </c>
      <c r="P231" s="48">
        <f t="shared" si="199"/>
        <v>17</v>
      </c>
      <c r="Q231" s="48">
        <f t="shared" si="199"/>
        <v>17</v>
      </c>
      <c r="R231" s="48">
        <f t="shared" si="199"/>
        <v>75</v>
      </c>
      <c r="S231" s="48">
        <f t="shared" si="199"/>
        <v>300</v>
      </c>
      <c r="T231" s="48">
        <f t="shared" si="199"/>
        <v>50</v>
      </c>
    </row>
    <row r="232" spans="1:20" s="2" customFormat="1">
      <c r="A232" s="2">
        <v>501</v>
      </c>
      <c r="B232" s="2" t="str">
        <f t="shared" ref="B232:B252" si="200">B8&amp;"精英"</f>
        <v>稻草人精英</v>
      </c>
      <c r="C232" s="2" t="str">
        <f t="shared" ref="C232:C252" si="201">C8</f>
        <v>边界村</v>
      </c>
      <c r="D232" s="2">
        <f>ROUND(D8*1.5,0)</f>
        <v>2</v>
      </c>
      <c r="E232" s="2">
        <f>ROUND(E8*1.5,0)</f>
        <v>3</v>
      </c>
      <c r="F232" s="2">
        <f t="shared" ref="F232:I232" si="202">ROUND(F8*2,0)</f>
        <v>0</v>
      </c>
      <c r="G232" s="2">
        <f t="shared" si="202"/>
        <v>0</v>
      </c>
      <c r="H232" s="2">
        <f t="shared" si="202"/>
        <v>0</v>
      </c>
      <c r="I232" s="2">
        <f t="shared" si="202"/>
        <v>0</v>
      </c>
      <c r="J232" s="2">
        <f t="shared" ref="J232:K232" si="203">ROUND(J8*1.3,0)</f>
        <v>0</v>
      </c>
      <c r="K232" s="2">
        <f t="shared" si="203"/>
        <v>0</v>
      </c>
      <c r="L232" s="2">
        <f>ROUND(L8*1.5+5,0)</f>
        <v>5</v>
      </c>
      <c r="M232" s="2">
        <f>ROUND(M8*1.5+5,0)</f>
        <v>5</v>
      </c>
      <c r="N232" s="2">
        <f t="shared" ref="N232:N255" si="204">ROUND(N8*3,0)</f>
        <v>45</v>
      </c>
      <c r="O232" s="2">
        <f t="shared" ref="O232:O252" si="205">ROUND(O8*2,0)</f>
        <v>0</v>
      </c>
      <c r="P232" s="2">
        <f>P8</f>
        <v>5</v>
      </c>
      <c r="Q232" s="2">
        <f t="shared" ref="Q232:T232" si="206">Q8</f>
        <v>10</v>
      </c>
      <c r="R232" s="2">
        <f t="shared" si="206"/>
        <v>75</v>
      </c>
      <c r="S232" s="2">
        <f t="shared" si="206"/>
        <v>300</v>
      </c>
      <c r="T232" s="2">
        <f t="shared" si="206"/>
        <v>50</v>
      </c>
    </row>
    <row r="233" spans="1:20" s="2" customFormat="1">
      <c r="A233" s="2">
        <v>502</v>
      </c>
      <c r="B233" s="2" t="str">
        <f t="shared" si="200"/>
        <v>钉耙猫精英</v>
      </c>
      <c r="C233" s="2" t="str">
        <f t="shared" si="201"/>
        <v>边界村</v>
      </c>
      <c r="D233" s="2">
        <f t="shared" ref="D233:E233" si="207">ROUND(D9*1.5,0)</f>
        <v>3</v>
      </c>
      <c r="E233" s="2">
        <f t="shared" si="207"/>
        <v>6</v>
      </c>
      <c r="F233" s="2">
        <f t="shared" ref="F233:I233" si="208">ROUND(F9*2,0)</f>
        <v>0</v>
      </c>
      <c r="G233" s="2">
        <f t="shared" si="208"/>
        <v>0</v>
      </c>
      <c r="H233" s="2">
        <f t="shared" si="208"/>
        <v>0</v>
      </c>
      <c r="I233" s="2">
        <f t="shared" si="208"/>
        <v>0</v>
      </c>
      <c r="J233" s="2">
        <f t="shared" ref="J233:K233" si="209">ROUND(J9*1.3,0)</f>
        <v>0</v>
      </c>
      <c r="K233" s="2">
        <f t="shared" si="209"/>
        <v>0</v>
      </c>
      <c r="L233" s="2">
        <f t="shared" ref="L233:M233" si="210">ROUND(L9*1.5+5,0)</f>
        <v>5</v>
      </c>
      <c r="M233" s="2">
        <f t="shared" si="210"/>
        <v>5</v>
      </c>
      <c r="N233" s="2">
        <f t="shared" si="204"/>
        <v>69</v>
      </c>
      <c r="O233" s="2">
        <f t="shared" si="205"/>
        <v>0</v>
      </c>
      <c r="P233" s="2">
        <f t="shared" ref="P233:T233" si="211">P9</f>
        <v>5</v>
      </c>
      <c r="Q233" s="2">
        <f t="shared" si="211"/>
        <v>10</v>
      </c>
      <c r="R233" s="2">
        <f t="shared" si="211"/>
        <v>75</v>
      </c>
      <c r="S233" s="2">
        <f t="shared" si="211"/>
        <v>300</v>
      </c>
      <c r="T233" s="2">
        <f t="shared" si="211"/>
        <v>50</v>
      </c>
    </row>
    <row r="234" spans="1:20" s="2" customFormat="1">
      <c r="A234" s="2">
        <v>503</v>
      </c>
      <c r="B234" s="2" t="str">
        <f t="shared" si="200"/>
        <v>半兽人_BJC精英</v>
      </c>
      <c r="C234" s="2" t="str">
        <f t="shared" si="201"/>
        <v>边界村</v>
      </c>
      <c r="D234" s="2">
        <f t="shared" ref="D234:E234" si="212">ROUND(D10*1.5,0)</f>
        <v>5</v>
      </c>
      <c r="E234" s="2">
        <f t="shared" si="212"/>
        <v>11</v>
      </c>
      <c r="F234" s="2">
        <f t="shared" ref="F234:I234" si="213">ROUND(F10*2,0)</f>
        <v>0</v>
      </c>
      <c r="G234" s="2">
        <f t="shared" si="213"/>
        <v>0</v>
      </c>
      <c r="H234" s="2">
        <f t="shared" si="213"/>
        <v>0</v>
      </c>
      <c r="I234" s="2">
        <f t="shared" si="213"/>
        <v>0</v>
      </c>
      <c r="J234" s="2">
        <f t="shared" ref="J234:K234" si="214">ROUND(J10*1.3,0)</f>
        <v>1</v>
      </c>
      <c r="K234" s="2">
        <f t="shared" si="214"/>
        <v>1</v>
      </c>
      <c r="L234" s="2">
        <f t="shared" ref="L234:M234" si="215">ROUND(L10*1.5+5,0)</f>
        <v>5</v>
      </c>
      <c r="M234" s="2">
        <f t="shared" si="215"/>
        <v>5</v>
      </c>
      <c r="N234" s="2">
        <f t="shared" si="204"/>
        <v>90</v>
      </c>
      <c r="O234" s="2">
        <f t="shared" si="205"/>
        <v>0</v>
      </c>
      <c r="P234" s="2">
        <f t="shared" ref="P234:T234" si="216">P10</f>
        <v>6</v>
      </c>
      <c r="Q234" s="2">
        <f t="shared" si="216"/>
        <v>11</v>
      </c>
      <c r="R234" s="2">
        <f t="shared" si="216"/>
        <v>75</v>
      </c>
      <c r="S234" s="2">
        <f t="shared" si="216"/>
        <v>300</v>
      </c>
      <c r="T234" s="2">
        <f t="shared" si="216"/>
        <v>50</v>
      </c>
    </row>
    <row r="235" spans="1:20" s="2" customFormat="1">
      <c r="A235" s="2">
        <v>504</v>
      </c>
      <c r="B235" s="2" t="str">
        <f t="shared" si="200"/>
        <v>半兽人战士精英</v>
      </c>
      <c r="C235" s="2" t="str">
        <f t="shared" si="201"/>
        <v>比奇省</v>
      </c>
      <c r="D235" s="2">
        <f t="shared" ref="D235:E235" si="217">ROUND(D11*1.5,0)</f>
        <v>8</v>
      </c>
      <c r="E235" s="2">
        <f t="shared" si="217"/>
        <v>18</v>
      </c>
      <c r="F235" s="2">
        <f t="shared" ref="F235:I235" si="218">ROUND(F11*2,0)</f>
        <v>0</v>
      </c>
      <c r="G235" s="2">
        <f t="shared" si="218"/>
        <v>0</v>
      </c>
      <c r="H235" s="2">
        <f t="shared" si="218"/>
        <v>0</v>
      </c>
      <c r="I235" s="2">
        <f t="shared" si="218"/>
        <v>0</v>
      </c>
      <c r="J235" s="2">
        <f t="shared" ref="J235:K235" si="219">ROUND(J11*1.3,0)</f>
        <v>4</v>
      </c>
      <c r="K235" s="2">
        <f t="shared" si="219"/>
        <v>4</v>
      </c>
      <c r="L235" s="2">
        <f t="shared" ref="L235:M235" si="220">ROUND(L11*1.5+5,0)</f>
        <v>7</v>
      </c>
      <c r="M235" s="2">
        <f t="shared" si="220"/>
        <v>7</v>
      </c>
      <c r="N235" s="2">
        <f t="shared" si="204"/>
        <v>300</v>
      </c>
      <c r="O235" s="2">
        <f t="shared" si="205"/>
        <v>0</v>
      </c>
      <c r="P235" s="2">
        <f t="shared" ref="P235:T235" si="221">P11</f>
        <v>10</v>
      </c>
      <c r="Q235" s="2">
        <f t="shared" si="221"/>
        <v>15</v>
      </c>
      <c r="R235" s="2">
        <f t="shared" si="221"/>
        <v>75</v>
      </c>
      <c r="S235" s="2">
        <f t="shared" si="221"/>
        <v>300</v>
      </c>
      <c r="T235" s="2">
        <f t="shared" si="221"/>
        <v>50</v>
      </c>
    </row>
    <row r="236" spans="1:20" s="2" customFormat="1">
      <c r="A236" s="2">
        <v>5041</v>
      </c>
      <c r="B236" s="2" t="str">
        <f t="shared" si="200"/>
        <v>半兽人战士_BJC精英</v>
      </c>
      <c r="C236" s="2" t="str">
        <f t="shared" si="201"/>
        <v>边界村</v>
      </c>
      <c r="D236" s="2">
        <f t="shared" ref="D236:E236" si="222">ROUND(D12*1.5,0)</f>
        <v>6</v>
      </c>
      <c r="E236" s="2">
        <f t="shared" si="222"/>
        <v>14</v>
      </c>
      <c r="F236" s="2">
        <f t="shared" ref="F236:I236" si="223">ROUND(F12*2,0)</f>
        <v>0</v>
      </c>
      <c r="G236" s="2">
        <f t="shared" si="223"/>
        <v>0</v>
      </c>
      <c r="H236" s="2">
        <f t="shared" si="223"/>
        <v>0</v>
      </c>
      <c r="I236" s="2">
        <f t="shared" si="223"/>
        <v>0</v>
      </c>
      <c r="J236" s="2">
        <f t="shared" ref="J236:K236" si="224">ROUND(J12*1.3,0)</f>
        <v>1</v>
      </c>
      <c r="K236" s="2">
        <f t="shared" si="224"/>
        <v>1</v>
      </c>
      <c r="L236" s="2">
        <f t="shared" ref="L236:M236" si="225">ROUND(L12*1.5+5,0)</f>
        <v>5</v>
      </c>
      <c r="M236" s="2">
        <f t="shared" si="225"/>
        <v>5</v>
      </c>
      <c r="N236" s="2">
        <f t="shared" si="204"/>
        <v>105</v>
      </c>
      <c r="O236" s="2">
        <f t="shared" si="205"/>
        <v>0</v>
      </c>
      <c r="P236" s="2">
        <f t="shared" ref="P236:T236" si="226">P12</f>
        <v>10</v>
      </c>
      <c r="Q236" s="2">
        <f t="shared" si="226"/>
        <v>12</v>
      </c>
      <c r="R236" s="2">
        <f t="shared" si="226"/>
        <v>75</v>
      </c>
      <c r="S236" s="2">
        <f t="shared" si="226"/>
        <v>300</v>
      </c>
      <c r="T236" s="2">
        <f t="shared" si="226"/>
        <v>50</v>
      </c>
    </row>
    <row r="237" spans="1:20" s="2" customFormat="1">
      <c r="A237" s="2">
        <v>5042</v>
      </c>
      <c r="B237" s="2" t="str">
        <f t="shared" si="200"/>
        <v>半兽人战士_BQS精英</v>
      </c>
      <c r="C237" s="2" t="str">
        <f t="shared" si="201"/>
        <v>比奇省</v>
      </c>
      <c r="D237" s="2">
        <f t="shared" ref="D237:E237" si="227">ROUND(D13*1.5,0)</f>
        <v>8</v>
      </c>
      <c r="E237" s="2">
        <f t="shared" si="227"/>
        <v>17</v>
      </c>
      <c r="F237" s="2">
        <f t="shared" ref="F237:I237" si="228">ROUND(F13*2,0)</f>
        <v>0</v>
      </c>
      <c r="G237" s="2">
        <f t="shared" si="228"/>
        <v>0</v>
      </c>
      <c r="H237" s="2">
        <f t="shared" si="228"/>
        <v>0</v>
      </c>
      <c r="I237" s="2">
        <f t="shared" si="228"/>
        <v>0</v>
      </c>
      <c r="J237" s="2">
        <f t="shared" ref="J237:K237" si="229">ROUND(J13*1.3,0)</f>
        <v>1</v>
      </c>
      <c r="K237" s="2">
        <f t="shared" si="229"/>
        <v>1</v>
      </c>
      <c r="L237" s="2">
        <f t="shared" ref="L237:M237" si="230">ROUND(L13*1.5+5,0)</f>
        <v>5</v>
      </c>
      <c r="M237" s="2">
        <f t="shared" si="230"/>
        <v>5</v>
      </c>
      <c r="N237" s="2">
        <f t="shared" si="204"/>
        <v>135</v>
      </c>
      <c r="O237" s="2">
        <f t="shared" si="205"/>
        <v>0</v>
      </c>
      <c r="P237" s="2">
        <f t="shared" ref="P237:T237" si="231">P13</f>
        <v>10</v>
      </c>
      <c r="Q237" s="2">
        <f t="shared" si="231"/>
        <v>12</v>
      </c>
      <c r="R237" s="2">
        <f t="shared" si="231"/>
        <v>75</v>
      </c>
      <c r="S237" s="2">
        <f t="shared" si="231"/>
        <v>300</v>
      </c>
      <c r="T237" s="2">
        <f t="shared" si="231"/>
        <v>50</v>
      </c>
    </row>
    <row r="238" spans="1:20" s="2" customFormat="1">
      <c r="A238" s="2">
        <v>505</v>
      </c>
      <c r="B238" s="2" t="str">
        <f t="shared" si="200"/>
        <v>半兽人勇士精英</v>
      </c>
      <c r="C238" s="2" t="str">
        <f t="shared" si="201"/>
        <v>比奇省</v>
      </c>
      <c r="D238" s="2">
        <f t="shared" ref="D238:E238" si="232">ROUND(D14*1.5,0)</f>
        <v>23</v>
      </c>
      <c r="E238" s="2">
        <f t="shared" si="232"/>
        <v>48</v>
      </c>
      <c r="F238" s="2">
        <f t="shared" ref="F238:I238" si="233">ROUND(F14*2,0)</f>
        <v>0</v>
      </c>
      <c r="G238" s="2">
        <f t="shared" si="233"/>
        <v>0</v>
      </c>
      <c r="H238" s="2">
        <f t="shared" si="233"/>
        <v>0</v>
      </c>
      <c r="I238" s="2">
        <f t="shared" si="233"/>
        <v>0</v>
      </c>
      <c r="J238" s="2">
        <f t="shared" ref="J238:K238" si="234">ROUND(J14*1.3,0)</f>
        <v>0</v>
      </c>
      <c r="K238" s="2">
        <f t="shared" si="234"/>
        <v>0</v>
      </c>
      <c r="L238" s="2">
        <f t="shared" ref="L238:M238" si="235">ROUND(L14*1.5+5,0)</f>
        <v>5</v>
      </c>
      <c r="M238" s="2">
        <f t="shared" si="235"/>
        <v>5</v>
      </c>
      <c r="N238" s="2">
        <f t="shared" si="204"/>
        <v>900</v>
      </c>
      <c r="O238" s="2">
        <f t="shared" si="205"/>
        <v>0</v>
      </c>
      <c r="P238" s="2">
        <f t="shared" ref="P238:T238" si="236">P14</f>
        <v>13</v>
      </c>
      <c r="Q238" s="2">
        <f t="shared" si="236"/>
        <v>15</v>
      </c>
      <c r="R238" s="2">
        <f t="shared" si="236"/>
        <v>75</v>
      </c>
      <c r="S238" s="2">
        <f t="shared" si="236"/>
        <v>300</v>
      </c>
      <c r="T238" s="2">
        <f t="shared" si="236"/>
        <v>50</v>
      </c>
    </row>
    <row r="239" spans="1:20" s="2" customFormat="1">
      <c r="A239" s="2">
        <v>5051</v>
      </c>
      <c r="B239" s="2" t="str">
        <f t="shared" si="200"/>
        <v>半兽人勇士_BJC精英</v>
      </c>
      <c r="C239" s="2" t="str">
        <f t="shared" si="201"/>
        <v>边界村</v>
      </c>
      <c r="D239" s="2">
        <f t="shared" ref="D239:E239" si="237">ROUND(D15*1.5,0)</f>
        <v>9</v>
      </c>
      <c r="E239" s="2">
        <f t="shared" si="237"/>
        <v>20</v>
      </c>
      <c r="F239" s="2">
        <f t="shared" ref="F239:I239" si="238">ROUND(F15*2,0)</f>
        <v>0</v>
      </c>
      <c r="G239" s="2">
        <f t="shared" si="238"/>
        <v>0</v>
      </c>
      <c r="H239" s="2">
        <f t="shared" si="238"/>
        <v>0</v>
      </c>
      <c r="I239" s="2">
        <f t="shared" si="238"/>
        <v>0</v>
      </c>
      <c r="J239" s="2">
        <f t="shared" ref="J239:K239" si="239">ROUND(J15*1.3,0)</f>
        <v>3</v>
      </c>
      <c r="K239" s="2">
        <f t="shared" si="239"/>
        <v>3</v>
      </c>
      <c r="L239" s="2">
        <f t="shared" ref="L239:M239" si="240">ROUND(L15*1.5+5,0)</f>
        <v>7</v>
      </c>
      <c r="M239" s="2">
        <f t="shared" si="240"/>
        <v>7</v>
      </c>
      <c r="N239" s="2">
        <f t="shared" si="204"/>
        <v>195</v>
      </c>
      <c r="O239" s="2">
        <f t="shared" si="205"/>
        <v>0</v>
      </c>
      <c r="P239" s="2">
        <f t="shared" ref="P239:T239" si="241">P15</f>
        <v>13</v>
      </c>
      <c r="Q239" s="2">
        <f t="shared" si="241"/>
        <v>13</v>
      </c>
      <c r="R239" s="2">
        <f t="shared" si="241"/>
        <v>75</v>
      </c>
      <c r="S239" s="2">
        <f t="shared" si="241"/>
        <v>300</v>
      </c>
      <c r="T239" s="2">
        <f t="shared" si="241"/>
        <v>50</v>
      </c>
    </row>
    <row r="240" spans="1:20" s="2" customFormat="1">
      <c r="A240" s="2">
        <v>5052</v>
      </c>
      <c r="B240" s="2" t="str">
        <f t="shared" si="200"/>
        <v>半兽人勇士_BQS精英</v>
      </c>
      <c r="C240" s="2" t="str">
        <f t="shared" si="201"/>
        <v>比奇省</v>
      </c>
      <c r="D240" s="2">
        <f t="shared" ref="D240:E240" si="242">ROUND(D16*1.5,0)</f>
        <v>9</v>
      </c>
      <c r="E240" s="2">
        <f t="shared" si="242"/>
        <v>20</v>
      </c>
      <c r="F240" s="2">
        <f t="shared" ref="F240:I240" si="243">ROUND(F16*2,0)</f>
        <v>0</v>
      </c>
      <c r="G240" s="2">
        <f t="shared" si="243"/>
        <v>0</v>
      </c>
      <c r="H240" s="2">
        <f t="shared" si="243"/>
        <v>0</v>
      </c>
      <c r="I240" s="2">
        <f t="shared" si="243"/>
        <v>0</v>
      </c>
      <c r="J240" s="2">
        <f t="shared" ref="J240:K240" si="244">ROUND(J16*1.3,0)</f>
        <v>3</v>
      </c>
      <c r="K240" s="2">
        <f t="shared" si="244"/>
        <v>3</v>
      </c>
      <c r="L240" s="2">
        <f t="shared" ref="L240:M240" si="245">ROUND(L16*1.5+5,0)</f>
        <v>7</v>
      </c>
      <c r="M240" s="2">
        <f t="shared" si="245"/>
        <v>7</v>
      </c>
      <c r="N240" s="2">
        <f t="shared" si="204"/>
        <v>195</v>
      </c>
      <c r="O240" s="2">
        <f t="shared" si="205"/>
        <v>0</v>
      </c>
      <c r="P240" s="2">
        <f t="shared" ref="P240:T240" si="246">P16</f>
        <v>13</v>
      </c>
      <c r="Q240" s="2">
        <f t="shared" si="246"/>
        <v>13</v>
      </c>
      <c r="R240" s="2">
        <f t="shared" si="246"/>
        <v>75</v>
      </c>
      <c r="S240" s="2">
        <f t="shared" si="246"/>
        <v>300</v>
      </c>
      <c r="T240" s="2">
        <f t="shared" si="246"/>
        <v>50</v>
      </c>
    </row>
    <row r="241" spans="1:20" s="2" customFormat="1">
      <c r="A241" s="2">
        <v>506</v>
      </c>
      <c r="B241" s="2" t="str">
        <f t="shared" si="200"/>
        <v>鹿精英</v>
      </c>
      <c r="C241" s="2" t="str">
        <f t="shared" si="201"/>
        <v>边界村</v>
      </c>
      <c r="D241" s="2">
        <f t="shared" ref="D241:E241" si="247">ROUND(D17*1.5,0)</f>
        <v>3</v>
      </c>
      <c r="E241" s="2">
        <f t="shared" si="247"/>
        <v>6</v>
      </c>
      <c r="F241" s="2">
        <f t="shared" ref="F241:I241" si="248">ROUND(F17*2,0)</f>
        <v>0</v>
      </c>
      <c r="G241" s="2">
        <f t="shared" si="248"/>
        <v>0</v>
      </c>
      <c r="H241" s="2">
        <f t="shared" si="248"/>
        <v>0</v>
      </c>
      <c r="I241" s="2">
        <f t="shared" si="248"/>
        <v>0</v>
      </c>
      <c r="J241" s="2">
        <f t="shared" ref="J241:K241" si="249">ROUND(J17*1.3,0)</f>
        <v>0</v>
      </c>
      <c r="K241" s="2">
        <f t="shared" si="249"/>
        <v>0</v>
      </c>
      <c r="L241" s="2">
        <f t="shared" ref="L241:M241" si="250">ROUND(L17*1.5+5,0)</f>
        <v>5</v>
      </c>
      <c r="M241" s="2">
        <f t="shared" si="250"/>
        <v>5</v>
      </c>
      <c r="N241" s="2">
        <f t="shared" si="204"/>
        <v>45</v>
      </c>
      <c r="O241" s="2">
        <f t="shared" si="205"/>
        <v>0</v>
      </c>
      <c r="P241" s="2">
        <f t="shared" ref="P241:T241" si="251">P17</f>
        <v>12</v>
      </c>
      <c r="Q241" s="2">
        <f t="shared" si="251"/>
        <v>4</v>
      </c>
      <c r="R241" s="2">
        <f t="shared" si="251"/>
        <v>75</v>
      </c>
      <c r="S241" s="2">
        <f t="shared" si="251"/>
        <v>300</v>
      </c>
      <c r="T241" s="2">
        <f t="shared" si="251"/>
        <v>50</v>
      </c>
    </row>
    <row r="242" spans="1:20" s="2" customFormat="1">
      <c r="A242" s="2">
        <v>507</v>
      </c>
      <c r="B242" s="2" t="str">
        <f t="shared" si="200"/>
        <v>残肢僵尸精英</v>
      </c>
      <c r="C242" s="2" t="str">
        <f t="shared" si="201"/>
        <v>比奇矿区</v>
      </c>
      <c r="D242" s="2">
        <f t="shared" ref="D242:E242" si="252">ROUND(D18*1.5,0)</f>
        <v>8</v>
      </c>
      <c r="E242" s="2">
        <f t="shared" si="252"/>
        <v>18</v>
      </c>
      <c r="F242" s="2">
        <f t="shared" ref="F242:I242" si="253">ROUND(F18*2,0)</f>
        <v>0</v>
      </c>
      <c r="G242" s="2">
        <f t="shared" si="253"/>
        <v>0</v>
      </c>
      <c r="H242" s="2">
        <f t="shared" si="253"/>
        <v>0</v>
      </c>
      <c r="I242" s="2">
        <f t="shared" si="253"/>
        <v>0</v>
      </c>
      <c r="J242" s="2">
        <f t="shared" ref="J242:K242" si="254">ROUND(J18*1.3,0)</f>
        <v>3</v>
      </c>
      <c r="K242" s="2">
        <f t="shared" si="254"/>
        <v>3</v>
      </c>
      <c r="L242" s="2">
        <f t="shared" ref="L242:M242" si="255">ROUND(L18*1.5+5,0)</f>
        <v>7</v>
      </c>
      <c r="M242" s="2">
        <f t="shared" si="255"/>
        <v>7</v>
      </c>
      <c r="N242" s="2">
        <f t="shared" si="204"/>
        <v>465</v>
      </c>
      <c r="O242" s="2">
        <f t="shared" si="205"/>
        <v>0</v>
      </c>
      <c r="P242" s="2">
        <f t="shared" ref="P242:T242" si="256">P18</f>
        <v>12</v>
      </c>
      <c r="Q242" s="2">
        <f t="shared" si="256"/>
        <v>15</v>
      </c>
      <c r="R242" s="2">
        <f t="shared" si="256"/>
        <v>75</v>
      </c>
      <c r="S242" s="2">
        <f t="shared" si="256"/>
        <v>300</v>
      </c>
      <c r="T242" s="2">
        <f t="shared" si="256"/>
        <v>50</v>
      </c>
    </row>
    <row r="243" spans="1:20" s="2" customFormat="1">
      <c r="A243" s="2">
        <v>508</v>
      </c>
      <c r="B243" s="2" t="str">
        <f t="shared" si="200"/>
        <v>直立僵尸精英</v>
      </c>
      <c r="C243" s="2" t="str">
        <f t="shared" si="201"/>
        <v>比奇矿区</v>
      </c>
      <c r="D243" s="2">
        <f t="shared" ref="D243:E243" si="257">ROUND(D19*1.5,0)</f>
        <v>8</v>
      </c>
      <c r="E243" s="2">
        <f t="shared" si="257"/>
        <v>23</v>
      </c>
      <c r="F243" s="2">
        <f t="shared" ref="F243:I243" si="258">ROUND(F19*2,0)</f>
        <v>0</v>
      </c>
      <c r="G243" s="2">
        <f t="shared" si="258"/>
        <v>0</v>
      </c>
      <c r="H243" s="2">
        <f t="shared" si="258"/>
        <v>0</v>
      </c>
      <c r="I243" s="2">
        <f t="shared" si="258"/>
        <v>0</v>
      </c>
      <c r="J243" s="2">
        <f t="shared" ref="J243:K243" si="259">ROUND(J19*1.3,0)</f>
        <v>3</v>
      </c>
      <c r="K243" s="2">
        <f t="shared" si="259"/>
        <v>3</v>
      </c>
      <c r="L243" s="2">
        <f t="shared" ref="L243:M243" si="260">ROUND(L19*1.5+5,0)</f>
        <v>7</v>
      </c>
      <c r="M243" s="2">
        <f t="shared" si="260"/>
        <v>7</v>
      </c>
      <c r="N243" s="2">
        <f t="shared" si="204"/>
        <v>465</v>
      </c>
      <c r="O243" s="2">
        <f t="shared" si="205"/>
        <v>0</v>
      </c>
      <c r="P243" s="2">
        <f t="shared" ref="P243:T243" si="261">P19</f>
        <v>12</v>
      </c>
      <c r="Q243" s="2">
        <f t="shared" si="261"/>
        <v>15</v>
      </c>
      <c r="R243" s="2">
        <f t="shared" si="261"/>
        <v>75</v>
      </c>
      <c r="S243" s="2">
        <f t="shared" si="261"/>
        <v>300</v>
      </c>
      <c r="T243" s="2">
        <f t="shared" si="261"/>
        <v>50</v>
      </c>
    </row>
    <row r="244" spans="1:20" s="2" customFormat="1">
      <c r="A244" s="2">
        <v>509</v>
      </c>
      <c r="B244" s="2" t="str">
        <f t="shared" si="200"/>
        <v>和尚僵尸精英</v>
      </c>
      <c r="C244" s="2" t="str">
        <f t="shared" si="201"/>
        <v>比奇矿区</v>
      </c>
      <c r="D244" s="2">
        <f t="shared" ref="D244:E244" si="262">ROUND(D20*1.5,0)</f>
        <v>12</v>
      </c>
      <c r="E244" s="2">
        <f t="shared" si="262"/>
        <v>23</v>
      </c>
      <c r="F244" s="2">
        <f t="shared" ref="F244:I244" si="263">ROUND(F20*2,0)</f>
        <v>0</v>
      </c>
      <c r="G244" s="2">
        <f t="shared" si="263"/>
        <v>0</v>
      </c>
      <c r="H244" s="2">
        <f t="shared" si="263"/>
        <v>0</v>
      </c>
      <c r="I244" s="2">
        <f t="shared" si="263"/>
        <v>0</v>
      </c>
      <c r="J244" s="2">
        <f t="shared" ref="J244:K244" si="264">ROUND(J20*1.3,0)</f>
        <v>3</v>
      </c>
      <c r="K244" s="2">
        <f t="shared" si="264"/>
        <v>3</v>
      </c>
      <c r="L244" s="2">
        <f t="shared" ref="L244:M244" si="265">ROUND(L20*1.5+5,0)</f>
        <v>7</v>
      </c>
      <c r="M244" s="2">
        <f t="shared" si="265"/>
        <v>7</v>
      </c>
      <c r="N244" s="2">
        <f t="shared" si="204"/>
        <v>465</v>
      </c>
      <c r="O244" s="2">
        <f t="shared" si="205"/>
        <v>0</v>
      </c>
      <c r="P244" s="2">
        <f t="shared" ref="P244:T244" si="266">P20</f>
        <v>12</v>
      </c>
      <c r="Q244" s="2">
        <f t="shared" si="266"/>
        <v>15</v>
      </c>
      <c r="R244" s="2">
        <f t="shared" si="266"/>
        <v>75</v>
      </c>
      <c r="S244" s="2">
        <f t="shared" si="266"/>
        <v>300</v>
      </c>
      <c r="T244" s="2">
        <f t="shared" si="266"/>
        <v>50</v>
      </c>
    </row>
    <row r="245" spans="1:20" s="2" customFormat="1">
      <c r="A245" s="2">
        <v>510</v>
      </c>
      <c r="B245" s="2" t="str">
        <f t="shared" si="200"/>
        <v>道士僵尸精英</v>
      </c>
      <c r="C245" s="2" t="str">
        <f t="shared" si="201"/>
        <v>比奇矿区</v>
      </c>
      <c r="D245" s="2">
        <f t="shared" ref="D245:E245" si="267">ROUND(D21*1.5,0)</f>
        <v>12</v>
      </c>
      <c r="E245" s="2">
        <f t="shared" si="267"/>
        <v>26</v>
      </c>
      <c r="F245" s="2">
        <f t="shared" ref="F245:I245" si="268">ROUND(F21*2,0)</f>
        <v>0</v>
      </c>
      <c r="G245" s="2">
        <f t="shared" si="268"/>
        <v>0</v>
      </c>
      <c r="H245" s="2">
        <f t="shared" si="268"/>
        <v>0</v>
      </c>
      <c r="I245" s="2">
        <f t="shared" si="268"/>
        <v>0</v>
      </c>
      <c r="J245" s="2">
        <f t="shared" ref="J245:K245" si="269">ROUND(J21*1.3,0)</f>
        <v>3</v>
      </c>
      <c r="K245" s="2">
        <f t="shared" si="269"/>
        <v>3</v>
      </c>
      <c r="L245" s="2">
        <f t="shared" ref="L245:M245" si="270">ROUND(L21*1.5+5,0)</f>
        <v>8</v>
      </c>
      <c r="M245" s="2">
        <f t="shared" si="270"/>
        <v>8</v>
      </c>
      <c r="N245" s="2">
        <f t="shared" si="204"/>
        <v>465</v>
      </c>
      <c r="O245" s="2">
        <f t="shared" si="205"/>
        <v>0</v>
      </c>
      <c r="P245" s="2">
        <f t="shared" ref="P245:T245" si="271">P21</f>
        <v>12</v>
      </c>
      <c r="Q245" s="2">
        <f t="shared" si="271"/>
        <v>15</v>
      </c>
      <c r="R245" s="2">
        <f t="shared" si="271"/>
        <v>75</v>
      </c>
      <c r="S245" s="2">
        <f t="shared" si="271"/>
        <v>300</v>
      </c>
      <c r="T245" s="2">
        <f t="shared" si="271"/>
        <v>50</v>
      </c>
    </row>
    <row r="246" spans="1:20" s="2" customFormat="1">
      <c r="A246" s="2">
        <v>511</v>
      </c>
      <c r="B246" s="2" t="str">
        <f t="shared" si="200"/>
        <v>矿区小蝙蝠精英</v>
      </c>
      <c r="C246" s="2" t="str">
        <f t="shared" si="201"/>
        <v>比奇矿区</v>
      </c>
      <c r="D246" s="2">
        <f t="shared" ref="D246:E246" si="272">ROUND(D22*1.5,0)</f>
        <v>6</v>
      </c>
      <c r="E246" s="2">
        <f t="shared" si="272"/>
        <v>9</v>
      </c>
      <c r="F246" s="2">
        <f t="shared" ref="F246:I246" si="273">ROUND(F22*2,0)</f>
        <v>0</v>
      </c>
      <c r="G246" s="2">
        <f t="shared" si="273"/>
        <v>0</v>
      </c>
      <c r="H246" s="2">
        <f t="shared" si="273"/>
        <v>0</v>
      </c>
      <c r="I246" s="2">
        <f t="shared" si="273"/>
        <v>0</v>
      </c>
      <c r="J246" s="2">
        <f t="shared" ref="J246:K246" si="274">ROUND(J22*1.3,0)</f>
        <v>3</v>
      </c>
      <c r="K246" s="2">
        <f t="shared" si="274"/>
        <v>3</v>
      </c>
      <c r="L246" s="2">
        <f t="shared" ref="L246:M246" si="275">ROUND(L22*1.5+5,0)</f>
        <v>5</v>
      </c>
      <c r="M246" s="2">
        <f t="shared" si="275"/>
        <v>5</v>
      </c>
      <c r="N246" s="2">
        <f t="shared" si="204"/>
        <v>75</v>
      </c>
      <c r="O246" s="2">
        <f t="shared" si="205"/>
        <v>0</v>
      </c>
      <c r="P246" s="2">
        <f t="shared" ref="P246:T246" si="276">P22</f>
        <v>11</v>
      </c>
      <c r="Q246" s="2">
        <f t="shared" si="276"/>
        <v>25</v>
      </c>
      <c r="R246" s="2">
        <f t="shared" si="276"/>
        <v>75</v>
      </c>
      <c r="S246" s="2">
        <f t="shared" si="276"/>
        <v>300</v>
      </c>
      <c r="T246" s="2">
        <f t="shared" si="276"/>
        <v>50</v>
      </c>
    </row>
    <row r="247" spans="1:20" s="2" customFormat="1">
      <c r="A247" s="2">
        <v>512</v>
      </c>
      <c r="B247" s="2" t="str">
        <f t="shared" si="200"/>
        <v>暗黑战士精英</v>
      </c>
      <c r="C247" s="2" t="str">
        <f t="shared" si="201"/>
        <v>沃玛寺庙</v>
      </c>
      <c r="D247" s="2">
        <f t="shared" ref="D247:E247" si="277">ROUND(D23*1.5,0)</f>
        <v>14</v>
      </c>
      <c r="E247" s="2">
        <f t="shared" si="277"/>
        <v>24</v>
      </c>
      <c r="F247" s="2">
        <f t="shared" ref="F247:I247" si="278">ROUND(F23*2,0)</f>
        <v>0</v>
      </c>
      <c r="G247" s="2">
        <f t="shared" si="278"/>
        <v>0</v>
      </c>
      <c r="H247" s="2">
        <f t="shared" si="278"/>
        <v>0</v>
      </c>
      <c r="I247" s="2">
        <f t="shared" si="278"/>
        <v>0</v>
      </c>
      <c r="J247" s="2">
        <f t="shared" ref="J247:K247" si="279">ROUND(J23*1.3,0)</f>
        <v>4</v>
      </c>
      <c r="K247" s="2">
        <f t="shared" si="279"/>
        <v>4</v>
      </c>
      <c r="L247" s="2">
        <f t="shared" ref="L247:M247" si="280">ROUND(L23*1.5+5,0)</f>
        <v>8</v>
      </c>
      <c r="M247" s="2">
        <f t="shared" si="280"/>
        <v>8</v>
      </c>
      <c r="N247" s="2">
        <f t="shared" si="204"/>
        <v>495</v>
      </c>
      <c r="O247" s="2">
        <f t="shared" si="205"/>
        <v>0</v>
      </c>
      <c r="P247" s="2">
        <f t="shared" ref="P247:T247" si="281">P23</f>
        <v>15</v>
      </c>
      <c r="Q247" s="2">
        <f t="shared" si="281"/>
        <v>15</v>
      </c>
      <c r="R247" s="2">
        <f t="shared" si="281"/>
        <v>75</v>
      </c>
      <c r="S247" s="2">
        <f t="shared" si="281"/>
        <v>300</v>
      </c>
      <c r="T247" s="2">
        <f t="shared" si="281"/>
        <v>50</v>
      </c>
    </row>
    <row r="248" spans="1:20" s="2" customFormat="1">
      <c r="A248" s="2">
        <v>513</v>
      </c>
      <c r="B248" s="2" t="str">
        <f t="shared" si="200"/>
        <v>沃玛战士精英</v>
      </c>
      <c r="C248" s="2" t="str">
        <f t="shared" si="201"/>
        <v>沃玛寺庙</v>
      </c>
      <c r="D248" s="2">
        <f t="shared" ref="D248:E248" si="282">ROUND(D24*1.5,0)</f>
        <v>21</v>
      </c>
      <c r="E248" s="2">
        <f t="shared" si="282"/>
        <v>42</v>
      </c>
      <c r="F248" s="2">
        <f t="shared" ref="F248:I248" si="283">ROUND(F24*2,0)</f>
        <v>0</v>
      </c>
      <c r="G248" s="2">
        <f t="shared" si="283"/>
        <v>0</v>
      </c>
      <c r="H248" s="2">
        <f t="shared" si="283"/>
        <v>0</v>
      </c>
      <c r="I248" s="2">
        <f t="shared" si="283"/>
        <v>0</v>
      </c>
      <c r="J248" s="2">
        <f t="shared" ref="J248:K248" si="284">ROUND(J24*1.3,0)</f>
        <v>4</v>
      </c>
      <c r="K248" s="2">
        <f t="shared" si="284"/>
        <v>4</v>
      </c>
      <c r="L248" s="2">
        <f t="shared" ref="L248:M248" si="285">ROUND(L24*1.5+5,0)</f>
        <v>8</v>
      </c>
      <c r="M248" s="2">
        <f t="shared" si="285"/>
        <v>8</v>
      </c>
      <c r="N248" s="2">
        <f t="shared" si="204"/>
        <v>795</v>
      </c>
      <c r="O248" s="2">
        <f t="shared" si="205"/>
        <v>0</v>
      </c>
      <c r="P248" s="2">
        <f t="shared" ref="P248:T248" si="286">P24</f>
        <v>13</v>
      </c>
      <c r="Q248" s="2">
        <f t="shared" si="286"/>
        <v>15</v>
      </c>
      <c r="R248" s="2">
        <f t="shared" si="286"/>
        <v>75</v>
      </c>
      <c r="S248" s="2">
        <f t="shared" si="286"/>
        <v>300</v>
      </c>
      <c r="T248" s="2">
        <f t="shared" si="286"/>
        <v>50</v>
      </c>
    </row>
    <row r="249" spans="1:20" s="2" customFormat="1">
      <c r="A249" s="2">
        <v>514</v>
      </c>
      <c r="B249" s="2" t="str">
        <f t="shared" si="200"/>
        <v>沃玛勇士精英</v>
      </c>
      <c r="C249" s="2" t="str">
        <f t="shared" si="201"/>
        <v>沃玛寺庙</v>
      </c>
      <c r="D249" s="2">
        <f t="shared" ref="D249:E249" si="287">ROUND(D25*1.5,0)</f>
        <v>24</v>
      </c>
      <c r="E249" s="2">
        <f t="shared" si="287"/>
        <v>42</v>
      </c>
      <c r="F249" s="2">
        <f t="shared" ref="F249:I249" si="288">ROUND(F25*2,0)</f>
        <v>0</v>
      </c>
      <c r="G249" s="2">
        <f t="shared" si="288"/>
        <v>0</v>
      </c>
      <c r="H249" s="2">
        <f t="shared" si="288"/>
        <v>0</v>
      </c>
      <c r="I249" s="2">
        <f t="shared" si="288"/>
        <v>0</v>
      </c>
      <c r="J249" s="2">
        <f t="shared" ref="J249:K249" si="289">ROUND(J25*1.3,0)</f>
        <v>4</v>
      </c>
      <c r="K249" s="2">
        <f t="shared" si="289"/>
        <v>4</v>
      </c>
      <c r="L249" s="2">
        <f t="shared" ref="L249:M249" si="290">ROUND(L25*1.5+5,0)</f>
        <v>8</v>
      </c>
      <c r="M249" s="2">
        <f t="shared" si="290"/>
        <v>8</v>
      </c>
      <c r="N249" s="2">
        <f t="shared" si="204"/>
        <v>855</v>
      </c>
      <c r="O249" s="2">
        <f t="shared" si="205"/>
        <v>0</v>
      </c>
      <c r="P249" s="2">
        <f t="shared" ref="P249:T249" si="291">P25</f>
        <v>13</v>
      </c>
      <c r="Q249" s="2">
        <f t="shared" si="291"/>
        <v>15</v>
      </c>
      <c r="R249" s="2">
        <f t="shared" si="291"/>
        <v>75</v>
      </c>
      <c r="S249" s="2">
        <f t="shared" si="291"/>
        <v>300</v>
      </c>
      <c r="T249" s="2">
        <f t="shared" si="291"/>
        <v>50</v>
      </c>
    </row>
    <row r="250" spans="1:20" s="2" customFormat="1">
      <c r="A250" s="2">
        <v>515</v>
      </c>
      <c r="B250" s="2" t="str">
        <f t="shared" si="200"/>
        <v>沃玛战将精英</v>
      </c>
      <c r="C250" s="2" t="str">
        <f t="shared" si="201"/>
        <v>沃玛寺庙</v>
      </c>
      <c r="D250" s="2">
        <f t="shared" ref="D250:E250" si="292">ROUND(D26*1.5,0)</f>
        <v>23</v>
      </c>
      <c r="E250" s="2">
        <f t="shared" si="292"/>
        <v>44</v>
      </c>
      <c r="F250" s="2">
        <f t="shared" ref="F250:I250" si="293">ROUND(F26*2,0)</f>
        <v>0</v>
      </c>
      <c r="G250" s="2">
        <f t="shared" si="293"/>
        <v>0</v>
      </c>
      <c r="H250" s="2">
        <f t="shared" si="293"/>
        <v>0</v>
      </c>
      <c r="I250" s="2">
        <f t="shared" si="293"/>
        <v>0</v>
      </c>
      <c r="J250" s="2">
        <f t="shared" ref="J250:K250" si="294">ROUND(J26*1.3,0)</f>
        <v>4</v>
      </c>
      <c r="K250" s="2">
        <f t="shared" si="294"/>
        <v>4</v>
      </c>
      <c r="L250" s="2">
        <f t="shared" ref="L250:M250" si="295">ROUND(L26*1.5+5,0)</f>
        <v>8</v>
      </c>
      <c r="M250" s="2">
        <f t="shared" si="295"/>
        <v>8</v>
      </c>
      <c r="N250" s="2">
        <f t="shared" si="204"/>
        <v>855</v>
      </c>
      <c r="O250" s="2">
        <f t="shared" si="205"/>
        <v>0</v>
      </c>
      <c r="P250" s="2">
        <f t="shared" ref="P250:T250" si="296">P26</f>
        <v>13</v>
      </c>
      <c r="Q250" s="2">
        <f t="shared" si="296"/>
        <v>15</v>
      </c>
      <c r="R250" s="2">
        <f t="shared" si="296"/>
        <v>75</v>
      </c>
      <c r="S250" s="2">
        <f t="shared" si="296"/>
        <v>300</v>
      </c>
      <c r="T250" s="2">
        <f t="shared" si="296"/>
        <v>50</v>
      </c>
    </row>
    <row r="251" spans="1:20" s="2" customFormat="1">
      <c r="A251" s="2">
        <v>516</v>
      </c>
      <c r="B251" s="2" t="str">
        <f t="shared" si="200"/>
        <v>火焰沃玛精英</v>
      </c>
      <c r="C251" s="2" t="str">
        <f t="shared" si="201"/>
        <v>沃玛寺庙</v>
      </c>
      <c r="D251" s="2">
        <f t="shared" ref="D251:E251" si="297">ROUND(D27*1.5,0)</f>
        <v>21</v>
      </c>
      <c r="E251" s="2">
        <f t="shared" si="297"/>
        <v>39</v>
      </c>
      <c r="F251" s="2">
        <f t="shared" ref="F251:I251" si="298">ROUND(F27*2,0)</f>
        <v>0</v>
      </c>
      <c r="G251" s="2">
        <f t="shared" si="298"/>
        <v>0</v>
      </c>
      <c r="H251" s="2">
        <f t="shared" si="298"/>
        <v>0</v>
      </c>
      <c r="I251" s="2">
        <f t="shared" si="298"/>
        <v>0</v>
      </c>
      <c r="J251" s="2">
        <f t="shared" ref="J251:K251" si="299">ROUND(J27*1.3,0)</f>
        <v>0</v>
      </c>
      <c r="K251" s="2">
        <f t="shared" si="299"/>
        <v>0</v>
      </c>
      <c r="L251" s="2">
        <f t="shared" ref="L251:M251" si="300">ROUND(L27*1.5+5,0)</f>
        <v>5</v>
      </c>
      <c r="M251" s="2">
        <f t="shared" si="300"/>
        <v>5</v>
      </c>
      <c r="N251" s="2">
        <f t="shared" si="204"/>
        <v>1020</v>
      </c>
      <c r="O251" s="2">
        <f t="shared" si="205"/>
        <v>0</v>
      </c>
      <c r="P251" s="2">
        <f t="shared" ref="P251:T251" si="301">P27</f>
        <v>20</v>
      </c>
      <c r="Q251" s="2">
        <f t="shared" si="301"/>
        <v>20</v>
      </c>
      <c r="R251" s="2">
        <f t="shared" si="301"/>
        <v>75</v>
      </c>
      <c r="S251" s="2">
        <f t="shared" si="301"/>
        <v>300</v>
      </c>
      <c r="T251" s="2">
        <f t="shared" si="301"/>
        <v>50</v>
      </c>
    </row>
    <row r="252" spans="1:20" s="2" customFormat="1">
      <c r="A252" s="2">
        <v>517</v>
      </c>
      <c r="B252" s="2" t="str">
        <f t="shared" si="200"/>
        <v>盔甲虫精英</v>
      </c>
      <c r="C252" s="2" t="str">
        <f t="shared" si="201"/>
        <v>盟重</v>
      </c>
      <c r="D252" s="2">
        <f t="shared" ref="D252:E252" si="302">ROUND(D28*1.5,0)</f>
        <v>6</v>
      </c>
      <c r="E252" s="2">
        <f t="shared" si="302"/>
        <v>15</v>
      </c>
      <c r="F252" s="2">
        <f t="shared" ref="F252:I252" si="303">ROUND(F28*2,0)</f>
        <v>0</v>
      </c>
      <c r="G252" s="2">
        <f t="shared" si="303"/>
        <v>0</v>
      </c>
      <c r="H252" s="2">
        <f t="shared" si="303"/>
        <v>0</v>
      </c>
      <c r="I252" s="2">
        <f t="shared" si="303"/>
        <v>0</v>
      </c>
      <c r="J252" s="2">
        <f t="shared" ref="J252:K252" si="304">ROUND(J28*1.3,0)</f>
        <v>0</v>
      </c>
      <c r="K252" s="2">
        <f t="shared" si="304"/>
        <v>0</v>
      </c>
      <c r="L252" s="2">
        <f t="shared" ref="L252:M252" si="305">ROUND(L28*1.5+5,0)</f>
        <v>5</v>
      </c>
      <c r="M252" s="2">
        <f t="shared" si="305"/>
        <v>5</v>
      </c>
      <c r="N252" s="2">
        <f t="shared" si="204"/>
        <v>150</v>
      </c>
      <c r="O252" s="2">
        <f t="shared" si="205"/>
        <v>0</v>
      </c>
      <c r="P252" s="2">
        <f t="shared" ref="P252:T252" si="306">P28</f>
        <v>7</v>
      </c>
      <c r="Q252" s="2">
        <f t="shared" si="306"/>
        <v>12</v>
      </c>
      <c r="R252" s="2">
        <f t="shared" si="306"/>
        <v>75</v>
      </c>
      <c r="S252" s="2">
        <f t="shared" si="306"/>
        <v>300</v>
      </c>
      <c r="T252" s="2">
        <f t="shared" si="306"/>
        <v>50</v>
      </c>
    </row>
    <row r="253" spans="1:20" s="2" customFormat="1">
      <c r="A253" s="2">
        <v>538</v>
      </c>
      <c r="B253" s="2" t="str">
        <f t="shared" ref="B253:B287" si="307">B29&amp;"精英"</f>
        <v>熊精英</v>
      </c>
      <c r="C253" s="2" t="str">
        <f t="shared" ref="C253:C287" si="308">C29</f>
        <v>盟重</v>
      </c>
      <c r="D253" s="2">
        <f t="shared" ref="D253:E254" si="309">ROUND(D29*1.5,0)</f>
        <v>8</v>
      </c>
      <c r="E253" s="2">
        <f t="shared" si="309"/>
        <v>12</v>
      </c>
      <c r="F253" s="2">
        <f t="shared" ref="F253:I254" si="310">ROUND(F29*2,0)</f>
        <v>0</v>
      </c>
      <c r="G253" s="2">
        <f t="shared" si="310"/>
        <v>0</v>
      </c>
      <c r="H253" s="2">
        <f t="shared" si="310"/>
        <v>0</v>
      </c>
      <c r="I253" s="2">
        <f t="shared" si="310"/>
        <v>0</v>
      </c>
      <c r="J253" s="2">
        <f t="shared" ref="J253:K254" si="311">ROUND(J29*1.3,0)</f>
        <v>0</v>
      </c>
      <c r="K253" s="2">
        <f t="shared" si="311"/>
        <v>0</v>
      </c>
      <c r="L253" s="2">
        <f t="shared" ref="L253:M253" si="312">ROUND(L29*1.5+5,0)</f>
        <v>5</v>
      </c>
      <c r="M253" s="2">
        <f t="shared" si="312"/>
        <v>5</v>
      </c>
      <c r="N253" s="2">
        <f t="shared" si="204"/>
        <v>138</v>
      </c>
      <c r="O253" s="2">
        <f t="shared" ref="O253:O287" si="313">ROUND(O29*2,0)</f>
        <v>0</v>
      </c>
      <c r="P253" s="2">
        <f t="shared" ref="P253:T254" si="314">P29</f>
        <v>10</v>
      </c>
      <c r="Q253" s="2">
        <f t="shared" si="314"/>
        <v>12</v>
      </c>
      <c r="R253" s="2">
        <f t="shared" si="314"/>
        <v>75</v>
      </c>
      <c r="S253" s="2">
        <f t="shared" si="314"/>
        <v>300</v>
      </c>
      <c r="T253" s="2">
        <f t="shared" si="314"/>
        <v>50</v>
      </c>
    </row>
    <row r="254" spans="1:20" s="2" customFormat="1">
      <c r="A254" s="2">
        <v>518</v>
      </c>
      <c r="B254" s="2" t="str">
        <f t="shared" si="307"/>
        <v>狼精英</v>
      </c>
      <c r="C254" s="2" t="str">
        <f t="shared" si="308"/>
        <v>盟重</v>
      </c>
      <c r="D254" s="2">
        <f t="shared" si="309"/>
        <v>9</v>
      </c>
      <c r="E254" s="2">
        <f t="shared" si="309"/>
        <v>14</v>
      </c>
      <c r="F254" s="2">
        <f t="shared" si="310"/>
        <v>0</v>
      </c>
      <c r="G254" s="2">
        <f t="shared" si="310"/>
        <v>0</v>
      </c>
      <c r="H254" s="2">
        <f t="shared" si="310"/>
        <v>0</v>
      </c>
      <c r="I254" s="2">
        <f t="shared" si="310"/>
        <v>0</v>
      </c>
      <c r="J254" s="2">
        <f t="shared" si="311"/>
        <v>0</v>
      </c>
      <c r="K254" s="2">
        <f t="shared" si="311"/>
        <v>0</v>
      </c>
      <c r="L254" s="2">
        <f t="shared" ref="L254:M254" si="315">ROUND(L30*1.5+5,0)</f>
        <v>5</v>
      </c>
      <c r="M254" s="2">
        <f t="shared" si="315"/>
        <v>5</v>
      </c>
      <c r="N254" s="2">
        <f t="shared" si="204"/>
        <v>111</v>
      </c>
      <c r="O254" s="2">
        <f t="shared" si="313"/>
        <v>0</v>
      </c>
      <c r="P254" s="2">
        <f t="shared" si="314"/>
        <v>10</v>
      </c>
      <c r="Q254" s="2">
        <f t="shared" si="314"/>
        <v>13</v>
      </c>
      <c r="R254" s="2">
        <f t="shared" si="314"/>
        <v>75</v>
      </c>
      <c r="S254" s="2">
        <f t="shared" si="314"/>
        <v>300</v>
      </c>
      <c r="T254" s="2">
        <f t="shared" si="314"/>
        <v>50</v>
      </c>
    </row>
    <row r="255" spans="1:20" s="2" customFormat="1">
      <c r="A255" s="2">
        <v>519</v>
      </c>
      <c r="B255" s="2" t="str">
        <f t="shared" si="307"/>
        <v>多角虫精英</v>
      </c>
      <c r="C255" s="2" t="str">
        <f t="shared" si="308"/>
        <v>盟重</v>
      </c>
      <c r="D255" s="2">
        <f t="shared" ref="D255:E255" si="316">ROUND(D31*1.5,0)</f>
        <v>11</v>
      </c>
      <c r="E255" s="2">
        <f t="shared" si="316"/>
        <v>12</v>
      </c>
      <c r="F255" s="2">
        <f t="shared" ref="F255:I255" si="317">ROUND(F31*2,0)</f>
        <v>0</v>
      </c>
      <c r="G255" s="2">
        <f t="shared" si="317"/>
        <v>0</v>
      </c>
      <c r="H255" s="2">
        <f t="shared" si="317"/>
        <v>0</v>
      </c>
      <c r="I255" s="2">
        <f t="shared" si="317"/>
        <v>0</v>
      </c>
      <c r="J255" s="2">
        <f t="shared" ref="J255:K255" si="318">ROUND(J31*1.3,0)</f>
        <v>0</v>
      </c>
      <c r="K255" s="2">
        <f t="shared" si="318"/>
        <v>0</v>
      </c>
      <c r="L255" s="2">
        <f t="shared" ref="L255:M255" si="319">ROUND(L31*1.5+5,0)</f>
        <v>5</v>
      </c>
      <c r="M255" s="2">
        <f t="shared" si="319"/>
        <v>5</v>
      </c>
      <c r="N255" s="2">
        <f t="shared" si="204"/>
        <v>156</v>
      </c>
      <c r="O255" s="2">
        <f t="shared" si="313"/>
        <v>0</v>
      </c>
      <c r="P255" s="2">
        <f t="shared" ref="P255:T255" si="320">P31</f>
        <v>10</v>
      </c>
      <c r="Q255" s="2">
        <f t="shared" si="320"/>
        <v>13</v>
      </c>
      <c r="R255" s="2">
        <f t="shared" si="320"/>
        <v>75</v>
      </c>
      <c r="S255" s="2">
        <f t="shared" si="320"/>
        <v>300</v>
      </c>
      <c r="T255" s="2">
        <f t="shared" si="320"/>
        <v>50</v>
      </c>
    </row>
    <row r="256" spans="1:20" s="2" customFormat="1">
      <c r="A256" s="2">
        <v>520</v>
      </c>
      <c r="B256" s="2" t="str">
        <f t="shared" si="307"/>
        <v>蜈蚣精英</v>
      </c>
      <c r="C256" s="2" t="str">
        <f t="shared" si="308"/>
        <v>死亡峡谷</v>
      </c>
      <c r="D256" s="2">
        <f t="shared" ref="D256:E256" si="321">ROUND(D32*1.5,0)</f>
        <v>18</v>
      </c>
      <c r="E256" s="2">
        <f t="shared" si="321"/>
        <v>27</v>
      </c>
      <c r="F256" s="2">
        <f t="shared" ref="F256:I256" si="322">ROUND(F32*2,0)</f>
        <v>0</v>
      </c>
      <c r="G256" s="2">
        <f t="shared" si="322"/>
        <v>0</v>
      </c>
      <c r="H256" s="2">
        <f t="shared" si="322"/>
        <v>0</v>
      </c>
      <c r="I256" s="2">
        <f t="shared" si="322"/>
        <v>0</v>
      </c>
      <c r="J256" s="2">
        <f t="shared" ref="J256:K256" si="323">ROUND(J32*1.3,0)</f>
        <v>0</v>
      </c>
      <c r="K256" s="2">
        <f t="shared" si="323"/>
        <v>0</v>
      </c>
      <c r="L256" s="2">
        <f t="shared" ref="L256:M256" si="324">ROUND(L32*1.5+5,0)</f>
        <v>13</v>
      </c>
      <c r="M256" s="2">
        <f t="shared" si="324"/>
        <v>13</v>
      </c>
      <c r="N256" s="2">
        <f t="shared" ref="N256:N287" si="325">ROUND(N32*3,-1)</f>
        <v>690</v>
      </c>
      <c r="O256" s="2">
        <f t="shared" si="313"/>
        <v>0</v>
      </c>
      <c r="P256" s="2">
        <f t="shared" ref="P256:T256" si="326">P32</f>
        <v>13</v>
      </c>
      <c r="Q256" s="2">
        <f t="shared" si="326"/>
        <v>15</v>
      </c>
      <c r="R256" s="2">
        <f t="shared" si="326"/>
        <v>75</v>
      </c>
      <c r="S256" s="2">
        <f t="shared" si="326"/>
        <v>300</v>
      </c>
      <c r="T256" s="2">
        <f t="shared" si="326"/>
        <v>50</v>
      </c>
    </row>
    <row r="257" spans="1:20" s="2" customFormat="1">
      <c r="A257" s="2">
        <v>521</v>
      </c>
      <c r="B257" s="2" t="str">
        <f t="shared" si="307"/>
        <v>巨型蠕虫精英</v>
      </c>
      <c r="C257" s="2" t="str">
        <f t="shared" si="308"/>
        <v>死亡峡谷</v>
      </c>
      <c r="D257" s="2">
        <f t="shared" ref="D257:E257" si="327">ROUND(D33*1.5,0)</f>
        <v>23</v>
      </c>
      <c r="E257" s="2">
        <f t="shared" si="327"/>
        <v>27</v>
      </c>
      <c r="F257" s="2">
        <f t="shared" ref="F257:I257" si="328">ROUND(F33*2,0)</f>
        <v>0</v>
      </c>
      <c r="G257" s="2">
        <f t="shared" si="328"/>
        <v>0</v>
      </c>
      <c r="H257" s="2">
        <f t="shared" si="328"/>
        <v>0</v>
      </c>
      <c r="I257" s="2">
        <f t="shared" si="328"/>
        <v>0</v>
      </c>
      <c r="J257" s="2">
        <f t="shared" ref="J257:K257" si="329">ROUND(J33*1.3,0)</f>
        <v>4</v>
      </c>
      <c r="K257" s="2">
        <f t="shared" si="329"/>
        <v>4</v>
      </c>
      <c r="L257" s="2">
        <f t="shared" ref="L257:M257" si="330">ROUND(L33*1.5+5,0)</f>
        <v>10</v>
      </c>
      <c r="M257" s="2">
        <f t="shared" si="330"/>
        <v>10</v>
      </c>
      <c r="N257" s="2">
        <f t="shared" si="325"/>
        <v>600</v>
      </c>
      <c r="O257" s="2">
        <f t="shared" si="313"/>
        <v>0</v>
      </c>
      <c r="P257" s="2">
        <f t="shared" ref="P257:T257" si="331">P33</f>
        <v>13</v>
      </c>
      <c r="Q257" s="2">
        <f t="shared" si="331"/>
        <v>15</v>
      </c>
      <c r="R257" s="2">
        <f t="shared" si="331"/>
        <v>75</v>
      </c>
      <c r="S257" s="2">
        <f t="shared" si="331"/>
        <v>300</v>
      </c>
      <c r="T257" s="2">
        <f t="shared" si="331"/>
        <v>50</v>
      </c>
    </row>
    <row r="258" spans="1:20" s="2" customFormat="1">
      <c r="A258" s="2">
        <v>522</v>
      </c>
      <c r="B258" s="2" t="str">
        <f t="shared" si="307"/>
        <v>钳虫精英</v>
      </c>
      <c r="C258" s="2" t="str">
        <f t="shared" si="308"/>
        <v>死亡峡谷</v>
      </c>
      <c r="D258" s="2">
        <f t="shared" ref="D258:E258" si="332">ROUND(D34*1.5,0)</f>
        <v>23</v>
      </c>
      <c r="E258" s="2">
        <f t="shared" si="332"/>
        <v>38</v>
      </c>
      <c r="F258" s="2">
        <f t="shared" ref="F258:I258" si="333">ROUND(F34*2,0)</f>
        <v>0</v>
      </c>
      <c r="G258" s="2">
        <f t="shared" si="333"/>
        <v>0</v>
      </c>
      <c r="H258" s="2">
        <f t="shared" si="333"/>
        <v>0</v>
      </c>
      <c r="I258" s="2">
        <f t="shared" si="333"/>
        <v>0</v>
      </c>
      <c r="J258" s="2">
        <f t="shared" ref="J258:K258" si="334">ROUND(J34*1.3,0)</f>
        <v>7</v>
      </c>
      <c r="K258" s="2">
        <f t="shared" si="334"/>
        <v>7</v>
      </c>
      <c r="L258" s="2">
        <f t="shared" ref="L258:M258" si="335">ROUND(L34*1.5+5,0)</f>
        <v>16</v>
      </c>
      <c r="M258" s="2">
        <f t="shared" si="335"/>
        <v>16</v>
      </c>
      <c r="N258" s="2">
        <f t="shared" si="325"/>
        <v>810</v>
      </c>
      <c r="O258" s="2">
        <f t="shared" si="313"/>
        <v>0</v>
      </c>
      <c r="P258" s="2">
        <f t="shared" ref="P258:T258" si="336">P34</f>
        <v>13</v>
      </c>
      <c r="Q258" s="2">
        <f t="shared" si="336"/>
        <v>15</v>
      </c>
      <c r="R258" s="2">
        <f t="shared" si="336"/>
        <v>75</v>
      </c>
      <c r="S258" s="2">
        <f t="shared" si="336"/>
        <v>300</v>
      </c>
      <c r="T258" s="2">
        <f t="shared" si="336"/>
        <v>50</v>
      </c>
    </row>
    <row r="259" spans="1:20" s="2" customFormat="1">
      <c r="A259" s="2">
        <v>523</v>
      </c>
      <c r="B259" s="2" t="str">
        <f t="shared" si="307"/>
        <v>跳跳蜂精英</v>
      </c>
      <c r="C259" s="2" t="str">
        <f t="shared" si="308"/>
        <v>死亡峡谷</v>
      </c>
      <c r="D259" s="2">
        <f t="shared" ref="D259:E259" si="337">ROUND(D35*1.5,0)</f>
        <v>18</v>
      </c>
      <c r="E259" s="2">
        <f t="shared" si="337"/>
        <v>27</v>
      </c>
      <c r="F259" s="2">
        <f t="shared" ref="F259:I259" si="338">ROUND(F35*2,0)</f>
        <v>0</v>
      </c>
      <c r="G259" s="2">
        <f t="shared" si="338"/>
        <v>0</v>
      </c>
      <c r="H259" s="2">
        <f t="shared" si="338"/>
        <v>0</v>
      </c>
      <c r="I259" s="2">
        <f t="shared" si="338"/>
        <v>0</v>
      </c>
      <c r="J259" s="2">
        <f t="shared" ref="J259:K259" si="339">ROUND(J35*1.3,0)</f>
        <v>4</v>
      </c>
      <c r="K259" s="2">
        <f t="shared" si="339"/>
        <v>4</v>
      </c>
      <c r="L259" s="2">
        <f t="shared" ref="L259:M259" si="340">ROUND(L35*1.5+5,0)</f>
        <v>10</v>
      </c>
      <c r="M259" s="2">
        <f t="shared" si="340"/>
        <v>10</v>
      </c>
      <c r="N259" s="2">
        <f t="shared" si="325"/>
        <v>600</v>
      </c>
      <c r="O259" s="2">
        <f t="shared" si="313"/>
        <v>0</v>
      </c>
      <c r="P259" s="2">
        <f t="shared" ref="P259:T259" si="341">P35</f>
        <v>13</v>
      </c>
      <c r="Q259" s="2">
        <f t="shared" si="341"/>
        <v>15</v>
      </c>
      <c r="R259" s="2">
        <f t="shared" si="341"/>
        <v>75</v>
      </c>
      <c r="S259" s="2">
        <f t="shared" si="341"/>
        <v>300</v>
      </c>
      <c r="T259" s="2">
        <f t="shared" si="341"/>
        <v>50</v>
      </c>
    </row>
    <row r="260" spans="1:20" s="2" customFormat="1">
      <c r="A260" s="2">
        <v>524</v>
      </c>
      <c r="B260" s="2" t="str">
        <f t="shared" si="307"/>
        <v>恶蛆精英</v>
      </c>
      <c r="C260" s="2" t="str">
        <f t="shared" si="308"/>
        <v>石墓</v>
      </c>
      <c r="D260" s="2">
        <f t="shared" ref="D260:E260" si="342">ROUND(D36*1.5,0)</f>
        <v>15</v>
      </c>
      <c r="E260" s="2">
        <f t="shared" si="342"/>
        <v>23</v>
      </c>
      <c r="F260" s="2">
        <f t="shared" ref="F260:I260" si="343">ROUND(F36*2,0)</f>
        <v>0</v>
      </c>
      <c r="G260" s="2">
        <f t="shared" si="343"/>
        <v>0</v>
      </c>
      <c r="H260" s="2">
        <f t="shared" si="343"/>
        <v>0</v>
      </c>
      <c r="I260" s="2">
        <f t="shared" si="343"/>
        <v>0</v>
      </c>
      <c r="J260" s="2">
        <f t="shared" ref="J260:K260" si="344">ROUND(J36*1.3,0)</f>
        <v>7</v>
      </c>
      <c r="K260" s="2">
        <f t="shared" si="344"/>
        <v>7</v>
      </c>
      <c r="L260" s="2">
        <f t="shared" ref="L260:M260" si="345">ROUND(L36*1.5+5,0)</f>
        <v>5</v>
      </c>
      <c r="M260" s="2">
        <f t="shared" si="345"/>
        <v>5</v>
      </c>
      <c r="N260" s="2">
        <f t="shared" si="325"/>
        <v>690</v>
      </c>
      <c r="O260" s="2">
        <f t="shared" si="313"/>
        <v>0</v>
      </c>
      <c r="P260" s="2">
        <f t="shared" ref="P260:T260" si="346">P36</f>
        <v>13</v>
      </c>
      <c r="Q260" s="2">
        <f t="shared" si="346"/>
        <v>15</v>
      </c>
      <c r="R260" s="2">
        <f t="shared" si="346"/>
        <v>75</v>
      </c>
      <c r="S260" s="2">
        <f t="shared" si="346"/>
        <v>300</v>
      </c>
      <c r="T260" s="2">
        <f t="shared" si="346"/>
        <v>50</v>
      </c>
    </row>
    <row r="261" spans="1:20" s="2" customFormat="1">
      <c r="A261" s="2">
        <v>525</v>
      </c>
      <c r="B261" s="2" t="str">
        <f t="shared" si="307"/>
        <v>红野猪精英</v>
      </c>
      <c r="C261" s="2" t="str">
        <f t="shared" si="308"/>
        <v>石墓</v>
      </c>
      <c r="D261" s="2">
        <f t="shared" ref="D261:E261" si="347">ROUND(D37*1.5,0)</f>
        <v>27</v>
      </c>
      <c r="E261" s="2">
        <f t="shared" si="347"/>
        <v>38</v>
      </c>
      <c r="F261" s="2">
        <f t="shared" ref="F261:I261" si="348">ROUND(F37*2,0)</f>
        <v>0</v>
      </c>
      <c r="G261" s="2">
        <f t="shared" si="348"/>
        <v>0</v>
      </c>
      <c r="H261" s="2">
        <f t="shared" si="348"/>
        <v>0</v>
      </c>
      <c r="I261" s="2">
        <f t="shared" si="348"/>
        <v>0</v>
      </c>
      <c r="J261" s="2">
        <f t="shared" ref="J261:K261" si="349">ROUND(J37*1.3,0)</f>
        <v>0</v>
      </c>
      <c r="K261" s="2">
        <f t="shared" si="349"/>
        <v>0</v>
      </c>
      <c r="L261" s="2">
        <f t="shared" ref="L261:M261" si="350">ROUND(L37*1.5+5,0)</f>
        <v>17</v>
      </c>
      <c r="M261" s="2">
        <f t="shared" si="350"/>
        <v>17</v>
      </c>
      <c r="N261" s="2">
        <f t="shared" si="325"/>
        <v>990</v>
      </c>
      <c r="O261" s="2">
        <f t="shared" si="313"/>
        <v>0</v>
      </c>
      <c r="P261" s="2">
        <f t="shared" ref="P261:T261" si="351">P37</f>
        <v>13</v>
      </c>
      <c r="Q261" s="2">
        <f t="shared" si="351"/>
        <v>15</v>
      </c>
      <c r="R261" s="2">
        <f t="shared" si="351"/>
        <v>75</v>
      </c>
      <c r="S261" s="2">
        <f t="shared" si="351"/>
        <v>300</v>
      </c>
      <c r="T261" s="2">
        <f t="shared" si="351"/>
        <v>50</v>
      </c>
    </row>
    <row r="262" spans="1:20" s="2" customFormat="1">
      <c r="A262" s="2">
        <v>526</v>
      </c>
      <c r="B262" s="2" t="str">
        <f t="shared" si="307"/>
        <v>黑野猪精英</v>
      </c>
      <c r="C262" s="2" t="str">
        <f t="shared" si="308"/>
        <v>石墓</v>
      </c>
      <c r="D262" s="2">
        <f t="shared" ref="D262:E262" si="352">ROUND(D38*1.5,0)</f>
        <v>30</v>
      </c>
      <c r="E262" s="2">
        <f t="shared" si="352"/>
        <v>39</v>
      </c>
      <c r="F262" s="2">
        <f t="shared" ref="F262:I262" si="353">ROUND(F38*2,0)</f>
        <v>0</v>
      </c>
      <c r="G262" s="2">
        <f t="shared" si="353"/>
        <v>0</v>
      </c>
      <c r="H262" s="2">
        <f t="shared" si="353"/>
        <v>0</v>
      </c>
      <c r="I262" s="2">
        <f t="shared" si="353"/>
        <v>0</v>
      </c>
      <c r="J262" s="2">
        <f t="shared" ref="J262:K262" si="354">ROUND(J38*1.3,0)</f>
        <v>13</v>
      </c>
      <c r="K262" s="2">
        <f t="shared" si="354"/>
        <v>13</v>
      </c>
      <c r="L262" s="2">
        <f t="shared" ref="L262:M262" si="355">ROUND(L38*1.5+5,0)</f>
        <v>5</v>
      </c>
      <c r="M262" s="2">
        <f t="shared" si="355"/>
        <v>5</v>
      </c>
      <c r="N262" s="2">
        <f t="shared" si="325"/>
        <v>930</v>
      </c>
      <c r="O262" s="2">
        <f t="shared" si="313"/>
        <v>0</v>
      </c>
      <c r="P262" s="2">
        <f t="shared" ref="P262:T262" si="356">P38</f>
        <v>13</v>
      </c>
      <c r="Q262" s="2">
        <f t="shared" si="356"/>
        <v>15</v>
      </c>
      <c r="R262" s="2">
        <f t="shared" si="356"/>
        <v>75</v>
      </c>
      <c r="S262" s="2">
        <f t="shared" si="356"/>
        <v>300</v>
      </c>
      <c r="T262" s="2">
        <f t="shared" si="356"/>
        <v>50</v>
      </c>
    </row>
    <row r="263" spans="1:20" s="2" customFormat="1">
      <c r="A263" s="3">
        <v>527</v>
      </c>
      <c r="B263" s="2" t="str">
        <f t="shared" si="307"/>
        <v>白野猪精英</v>
      </c>
      <c r="C263" s="2" t="str">
        <f t="shared" si="308"/>
        <v>石墓</v>
      </c>
      <c r="D263" s="2">
        <f t="shared" ref="D263:E263" si="357">ROUND(D39*1.5,0)</f>
        <v>45</v>
      </c>
      <c r="E263" s="2">
        <f t="shared" si="357"/>
        <v>83</v>
      </c>
      <c r="F263" s="2">
        <f t="shared" ref="F263:I263" si="358">ROUND(F39*2,0)</f>
        <v>0</v>
      </c>
      <c r="G263" s="2">
        <f t="shared" si="358"/>
        <v>0</v>
      </c>
      <c r="H263" s="2">
        <f t="shared" si="358"/>
        <v>0</v>
      </c>
      <c r="I263" s="2">
        <f t="shared" si="358"/>
        <v>0</v>
      </c>
      <c r="J263" s="2">
        <f t="shared" ref="J263:K263" si="359">ROUND(J39*1.3,0)</f>
        <v>20</v>
      </c>
      <c r="K263" s="2">
        <f t="shared" si="359"/>
        <v>20</v>
      </c>
      <c r="L263" s="2">
        <f t="shared" ref="L263:M263" si="360">ROUND(L39*1.5+5,0)</f>
        <v>28</v>
      </c>
      <c r="M263" s="2">
        <f t="shared" si="360"/>
        <v>28</v>
      </c>
      <c r="N263" s="2">
        <f t="shared" si="325"/>
        <v>3000</v>
      </c>
      <c r="O263" s="2">
        <f t="shared" si="313"/>
        <v>0</v>
      </c>
      <c r="P263" s="2">
        <f t="shared" ref="P263:T263" si="361">P39</f>
        <v>17</v>
      </c>
      <c r="Q263" s="2">
        <f t="shared" si="361"/>
        <v>25</v>
      </c>
      <c r="R263" s="2">
        <f t="shared" si="361"/>
        <v>75</v>
      </c>
      <c r="S263" s="2">
        <f t="shared" si="361"/>
        <v>300</v>
      </c>
      <c r="T263" s="2">
        <f t="shared" si="361"/>
        <v>50</v>
      </c>
    </row>
    <row r="264" spans="1:20" s="2" customFormat="1">
      <c r="A264" s="3">
        <v>528</v>
      </c>
      <c r="B264" s="2" t="str">
        <f t="shared" si="307"/>
        <v>虹魔猪卫精英</v>
      </c>
      <c r="C264" s="2" t="str">
        <f t="shared" si="308"/>
        <v>虹魔教坛</v>
      </c>
      <c r="D264" s="2">
        <f t="shared" ref="D264:E264" si="362">ROUND(D40*1.5,0)</f>
        <v>60</v>
      </c>
      <c r="E264" s="2">
        <f t="shared" si="362"/>
        <v>90</v>
      </c>
      <c r="F264" s="2">
        <f t="shared" ref="F264:I264" si="363">ROUND(F40*2,0)</f>
        <v>0</v>
      </c>
      <c r="G264" s="2">
        <f t="shared" si="363"/>
        <v>0</v>
      </c>
      <c r="H264" s="2">
        <f t="shared" si="363"/>
        <v>0</v>
      </c>
      <c r="I264" s="2">
        <f t="shared" si="363"/>
        <v>0</v>
      </c>
      <c r="J264" s="2">
        <f t="shared" ref="J264:K264" si="364">ROUND(J40*1.3,0)</f>
        <v>26</v>
      </c>
      <c r="K264" s="2">
        <f t="shared" si="364"/>
        <v>26</v>
      </c>
      <c r="L264" s="2">
        <f t="shared" ref="L264:M264" si="365">ROUND(L40*1.5+5,0)</f>
        <v>35</v>
      </c>
      <c r="M264" s="2">
        <f t="shared" si="365"/>
        <v>35</v>
      </c>
      <c r="N264" s="2">
        <f t="shared" si="325"/>
        <v>4500</v>
      </c>
      <c r="O264" s="2">
        <f t="shared" si="313"/>
        <v>0</v>
      </c>
      <c r="P264" s="2">
        <f t="shared" ref="P264:T264" si="366">P40</f>
        <v>17</v>
      </c>
      <c r="Q264" s="2">
        <f t="shared" si="366"/>
        <v>25</v>
      </c>
      <c r="R264" s="2">
        <f t="shared" si="366"/>
        <v>75</v>
      </c>
      <c r="S264" s="2">
        <f t="shared" si="366"/>
        <v>300</v>
      </c>
      <c r="T264" s="2">
        <f t="shared" si="366"/>
        <v>50</v>
      </c>
    </row>
    <row r="265" spans="1:20" s="2" customFormat="1">
      <c r="A265" s="3">
        <v>529</v>
      </c>
      <c r="B265" s="2" t="str">
        <f t="shared" si="307"/>
        <v>虹魔蝎卫精英</v>
      </c>
      <c r="C265" s="2" t="str">
        <f t="shared" si="308"/>
        <v>虹魔教坛</v>
      </c>
      <c r="D265" s="2">
        <f t="shared" ref="D265:E265" si="367">ROUND(D41*1.5,0)</f>
        <v>68</v>
      </c>
      <c r="E265" s="2">
        <f t="shared" si="367"/>
        <v>98</v>
      </c>
      <c r="F265" s="2">
        <f t="shared" ref="F265:I265" si="368">ROUND(F41*2,0)</f>
        <v>0</v>
      </c>
      <c r="G265" s="2">
        <f t="shared" si="368"/>
        <v>0</v>
      </c>
      <c r="H265" s="2">
        <f t="shared" si="368"/>
        <v>0</v>
      </c>
      <c r="I265" s="2">
        <f t="shared" si="368"/>
        <v>0</v>
      </c>
      <c r="J265" s="2">
        <f t="shared" ref="J265:K265" si="369">ROUND(J41*1.3,0)</f>
        <v>33</v>
      </c>
      <c r="K265" s="2">
        <f t="shared" si="369"/>
        <v>33</v>
      </c>
      <c r="L265" s="2">
        <f t="shared" ref="L265:M265" si="370">ROUND(L41*1.5+5,0)</f>
        <v>43</v>
      </c>
      <c r="M265" s="2">
        <f t="shared" si="370"/>
        <v>43</v>
      </c>
      <c r="N265" s="2">
        <f t="shared" si="325"/>
        <v>6000</v>
      </c>
      <c r="O265" s="2">
        <f t="shared" si="313"/>
        <v>0</v>
      </c>
      <c r="P265" s="2">
        <f t="shared" ref="P265:T265" si="371">P41</f>
        <v>17</v>
      </c>
      <c r="Q265" s="2">
        <f t="shared" si="371"/>
        <v>25</v>
      </c>
      <c r="R265" s="2">
        <f t="shared" si="371"/>
        <v>75</v>
      </c>
      <c r="S265" s="2">
        <f t="shared" si="371"/>
        <v>300</v>
      </c>
      <c r="T265" s="2">
        <f t="shared" si="371"/>
        <v>50</v>
      </c>
    </row>
    <row r="266" spans="1:20" s="2" customFormat="1">
      <c r="A266" s="3">
        <v>530</v>
      </c>
      <c r="B266" s="2" t="str">
        <f t="shared" si="307"/>
        <v>残肢僵尸1精英</v>
      </c>
      <c r="C266" s="2" t="str">
        <f t="shared" si="308"/>
        <v>比奇矿区</v>
      </c>
      <c r="D266" s="2">
        <f t="shared" ref="D266:E266" si="372">ROUND(D42*1.5,0)</f>
        <v>8</v>
      </c>
      <c r="E266" s="2">
        <f t="shared" si="372"/>
        <v>18</v>
      </c>
      <c r="F266" s="2">
        <f t="shared" ref="F266:I266" si="373">ROUND(F42*2,0)</f>
        <v>0</v>
      </c>
      <c r="G266" s="2">
        <f t="shared" si="373"/>
        <v>0</v>
      </c>
      <c r="H266" s="2">
        <f t="shared" si="373"/>
        <v>0</v>
      </c>
      <c r="I266" s="2">
        <f t="shared" si="373"/>
        <v>0</v>
      </c>
      <c r="J266" s="2">
        <f t="shared" ref="J266:K266" si="374">ROUND(J42*1.3,0)</f>
        <v>3</v>
      </c>
      <c r="K266" s="2">
        <f t="shared" si="374"/>
        <v>3</v>
      </c>
      <c r="L266" s="2">
        <f t="shared" ref="L266:M266" si="375">ROUND(L42*1.5+5,0)</f>
        <v>7</v>
      </c>
      <c r="M266" s="2">
        <f t="shared" si="375"/>
        <v>7</v>
      </c>
      <c r="N266" s="2">
        <f t="shared" si="325"/>
        <v>230</v>
      </c>
      <c r="O266" s="2">
        <f t="shared" si="313"/>
        <v>0</v>
      </c>
      <c r="P266" s="2">
        <f t="shared" ref="P266:T266" si="376">P42</f>
        <v>5</v>
      </c>
      <c r="Q266" s="2">
        <f t="shared" si="376"/>
        <v>10</v>
      </c>
      <c r="R266" s="2">
        <f t="shared" si="376"/>
        <v>75</v>
      </c>
      <c r="S266" s="2">
        <f t="shared" si="376"/>
        <v>300</v>
      </c>
      <c r="T266" s="2">
        <f t="shared" si="376"/>
        <v>50</v>
      </c>
    </row>
    <row r="267" spans="1:20" s="2" customFormat="1">
      <c r="A267" s="3">
        <v>531</v>
      </c>
      <c r="B267" s="2" t="str">
        <f t="shared" si="307"/>
        <v>直立僵尸2精英</v>
      </c>
      <c r="C267" s="2" t="str">
        <f t="shared" si="308"/>
        <v>比奇矿区</v>
      </c>
      <c r="D267" s="2">
        <f t="shared" ref="D267:E267" si="377">ROUND(D43*1.5,0)</f>
        <v>8</v>
      </c>
      <c r="E267" s="2">
        <f t="shared" si="377"/>
        <v>23</v>
      </c>
      <c r="F267" s="2">
        <f t="shared" ref="F267:I267" si="378">ROUND(F43*2,0)</f>
        <v>0</v>
      </c>
      <c r="G267" s="2">
        <f t="shared" si="378"/>
        <v>0</v>
      </c>
      <c r="H267" s="2">
        <f t="shared" si="378"/>
        <v>0</v>
      </c>
      <c r="I267" s="2">
        <f t="shared" si="378"/>
        <v>0</v>
      </c>
      <c r="J267" s="2">
        <f t="shared" ref="J267:K267" si="379">ROUND(J43*1.3,0)</f>
        <v>3</v>
      </c>
      <c r="K267" s="2">
        <f t="shared" si="379"/>
        <v>3</v>
      </c>
      <c r="L267" s="2">
        <f t="shared" ref="L267:M267" si="380">ROUND(L43*1.5+5,0)</f>
        <v>7</v>
      </c>
      <c r="M267" s="2">
        <f t="shared" si="380"/>
        <v>7</v>
      </c>
      <c r="N267" s="2">
        <f t="shared" si="325"/>
        <v>230</v>
      </c>
      <c r="O267" s="2">
        <f t="shared" si="313"/>
        <v>0</v>
      </c>
      <c r="P267" s="2">
        <f t="shared" ref="P267:T267" si="381">P43</f>
        <v>5</v>
      </c>
      <c r="Q267" s="2">
        <f t="shared" si="381"/>
        <v>10</v>
      </c>
      <c r="R267" s="2">
        <f t="shared" si="381"/>
        <v>75</v>
      </c>
      <c r="S267" s="2">
        <f t="shared" si="381"/>
        <v>300</v>
      </c>
      <c r="T267" s="2">
        <f t="shared" si="381"/>
        <v>50</v>
      </c>
    </row>
    <row r="268" spans="1:20" s="2" customFormat="1">
      <c r="A268" s="3">
        <v>532</v>
      </c>
      <c r="B268" s="2" t="str">
        <f t="shared" si="307"/>
        <v>残肢僵尸1精英</v>
      </c>
      <c r="C268" s="2" t="str">
        <f t="shared" si="308"/>
        <v>比奇矿区</v>
      </c>
      <c r="D268" s="2">
        <f t="shared" ref="D268:E268" si="382">ROUND(D44*1.5,0)</f>
        <v>8</v>
      </c>
      <c r="E268" s="2">
        <f t="shared" si="382"/>
        <v>18</v>
      </c>
      <c r="F268" s="2">
        <f t="shared" ref="F268:I268" si="383">ROUND(F44*2,0)</f>
        <v>0</v>
      </c>
      <c r="G268" s="2">
        <f t="shared" si="383"/>
        <v>0</v>
      </c>
      <c r="H268" s="2">
        <f t="shared" si="383"/>
        <v>0</v>
      </c>
      <c r="I268" s="2">
        <f t="shared" si="383"/>
        <v>0</v>
      </c>
      <c r="J268" s="2">
        <f t="shared" ref="J268:K268" si="384">ROUND(J44*1.3,0)</f>
        <v>3</v>
      </c>
      <c r="K268" s="2">
        <f t="shared" si="384"/>
        <v>3</v>
      </c>
      <c r="L268" s="2">
        <f t="shared" ref="L268:M268" si="385">ROUND(L44*1.5+5,0)</f>
        <v>7</v>
      </c>
      <c r="M268" s="2">
        <f t="shared" si="385"/>
        <v>7</v>
      </c>
      <c r="N268" s="2">
        <f t="shared" si="325"/>
        <v>110</v>
      </c>
      <c r="O268" s="2">
        <f t="shared" si="313"/>
        <v>0</v>
      </c>
      <c r="P268" s="2">
        <f t="shared" ref="P268:T268" si="386">P44</f>
        <v>5</v>
      </c>
      <c r="Q268" s="2">
        <f t="shared" si="386"/>
        <v>10</v>
      </c>
      <c r="R268" s="2">
        <f t="shared" si="386"/>
        <v>75</v>
      </c>
      <c r="S268" s="2">
        <f t="shared" si="386"/>
        <v>300</v>
      </c>
      <c r="T268" s="2">
        <f t="shared" si="386"/>
        <v>50</v>
      </c>
    </row>
    <row r="269" spans="1:20" s="2" customFormat="1">
      <c r="A269" s="3">
        <v>533</v>
      </c>
      <c r="B269" s="2" t="str">
        <f t="shared" si="307"/>
        <v>直立僵尸2精英</v>
      </c>
      <c r="C269" s="2" t="str">
        <f t="shared" si="308"/>
        <v>比奇矿区</v>
      </c>
      <c r="D269" s="2">
        <f t="shared" ref="D269:E269" si="387">ROUND(D45*1.5,0)</f>
        <v>8</v>
      </c>
      <c r="E269" s="2">
        <f t="shared" si="387"/>
        <v>23</v>
      </c>
      <c r="F269" s="2">
        <f t="shared" ref="F269:I269" si="388">ROUND(F45*2,0)</f>
        <v>0</v>
      </c>
      <c r="G269" s="2">
        <f t="shared" si="388"/>
        <v>0</v>
      </c>
      <c r="H269" s="2">
        <f t="shared" si="388"/>
        <v>0</v>
      </c>
      <c r="I269" s="2">
        <f t="shared" si="388"/>
        <v>0</v>
      </c>
      <c r="J269" s="2">
        <f t="shared" ref="J269:K269" si="389">ROUND(J45*1.3,0)</f>
        <v>3</v>
      </c>
      <c r="K269" s="2">
        <f t="shared" si="389"/>
        <v>3</v>
      </c>
      <c r="L269" s="2">
        <f t="shared" ref="L269:M269" si="390">ROUND(L45*1.5+5,0)</f>
        <v>7</v>
      </c>
      <c r="M269" s="2">
        <f t="shared" si="390"/>
        <v>7</v>
      </c>
      <c r="N269" s="2">
        <f t="shared" si="325"/>
        <v>110</v>
      </c>
      <c r="O269" s="2">
        <f t="shared" si="313"/>
        <v>0</v>
      </c>
      <c r="P269" s="2">
        <f t="shared" ref="P269:T269" si="391">P45</f>
        <v>5</v>
      </c>
      <c r="Q269" s="2">
        <f t="shared" si="391"/>
        <v>10</v>
      </c>
      <c r="R269" s="2">
        <f t="shared" si="391"/>
        <v>75</v>
      </c>
      <c r="S269" s="2">
        <f t="shared" si="391"/>
        <v>300</v>
      </c>
      <c r="T269" s="2">
        <f t="shared" si="391"/>
        <v>50</v>
      </c>
    </row>
    <row r="270" spans="1:20" s="2" customFormat="1">
      <c r="A270" s="3">
        <v>534</v>
      </c>
      <c r="B270" s="2" t="str">
        <f t="shared" si="307"/>
        <v>祖玛老鼠精英</v>
      </c>
      <c r="C270" s="2" t="str">
        <f t="shared" si="308"/>
        <v>祖玛寺庙</v>
      </c>
      <c r="D270" s="2">
        <f t="shared" ref="D270:E270" si="392">ROUND(D46*1.5,0)</f>
        <v>18</v>
      </c>
      <c r="E270" s="2">
        <f t="shared" si="392"/>
        <v>35</v>
      </c>
      <c r="F270" s="2">
        <f t="shared" ref="F270:I270" si="393">ROUND(F46*2,0)</f>
        <v>0</v>
      </c>
      <c r="G270" s="2">
        <f t="shared" si="393"/>
        <v>0</v>
      </c>
      <c r="H270" s="2">
        <f t="shared" si="393"/>
        <v>0</v>
      </c>
      <c r="I270" s="2">
        <f t="shared" si="393"/>
        <v>0</v>
      </c>
      <c r="J270" s="2">
        <f t="shared" ref="J270:K270" si="394">ROUND(J46*1.3,0)</f>
        <v>4</v>
      </c>
      <c r="K270" s="2">
        <f t="shared" si="394"/>
        <v>4</v>
      </c>
      <c r="L270" s="2">
        <f t="shared" ref="L270:M270" si="395">ROUND(L46*1.5+5,0)</f>
        <v>13</v>
      </c>
      <c r="M270" s="2">
        <f t="shared" si="395"/>
        <v>13</v>
      </c>
      <c r="N270" s="2">
        <f t="shared" si="325"/>
        <v>1160</v>
      </c>
      <c r="O270" s="2">
        <f t="shared" si="313"/>
        <v>0</v>
      </c>
      <c r="P270" s="2">
        <f t="shared" ref="P270:T270" si="396">P46</f>
        <v>12</v>
      </c>
      <c r="Q270" s="2">
        <f t="shared" si="396"/>
        <v>15</v>
      </c>
      <c r="R270" s="2">
        <f t="shared" si="396"/>
        <v>75</v>
      </c>
      <c r="S270" s="2">
        <f t="shared" si="396"/>
        <v>300</v>
      </c>
      <c r="T270" s="2">
        <f t="shared" si="396"/>
        <v>50</v>
      </c>
    </row>
    <row r="271" spans="1:20" s="2" customFormat="1">
      <c r="A271" s="3">
        <v>535</v>
      </c>
      <c r="B271" s="2" t="str">
        <f t="shared" si="307"/>
        <v>祖玛卫士弓精英</v>
      </c>
      <c r="C271" s="2" t="str">
        <f t="shared" si="308"/>
        <v>祖玛寺庙</v>
      </c>
      <c r="D271" s="2">
        <f t="shared" ref="D271:E271" si="397">ROUND(D47*1.5,0)</f>
        <v>18</v>
      </c>
      <c r="E271" s="2">
        <f t="shared" si="397"/>
        <v>27</v>
      </c>
      <c r="F271" s="2">
        <f t="shared" ref="F271:I271" si="398">ROUND(F47*2,0)</f>
        <v>0</v>
      </c>
      <c r="G271" s="2">
        <f t="shared" si="398"/>
        <v>0</v>
      </c>
      <c r="H271" s="2">
        <f t="shared" si="398"/>
        <v>0</v>
      </c>
      <c r="I271" s="2">
        <f t="shared" si="398"/>
        <v>0</v>
      </c>
      <c r="J271" s="2">
        <f t="shared" ref="J271:K271" si="399">ROUND(J47*1.3,0)</f>
        <v>13</v>
      </c>
      <c r="K271" s="2">
        <f t="shared" si="399"/>
        <v>13</v>
      </c>
      <c r="L271" s="2">
        <f t="shared" ref="L271:M271" si="400">ROUND(L47*1.5+5,0)</f>
        <v>20</v>
      </c>
      <c r="M271" s="2">
        <f t="shared" si="400"/>
        <v>20</v>
      </c>
      <c r="N271" s="2">
        <f t="shared" si="325"/>
        <v>1160</v>
      </c>
      <c r="O271" s="2">
        <f t="shared" si="313"/>
        <v>0</v>
      </c>
      <c r="P271" s="2">
        <f t="shared" ref="P271:T271" si="401">P47</f>
        <v>15</v>
      </c>
      <c r="Q271" s="2">
        <f t="shared" si="401"/>
        <v>15</v>
      </c>
      <c r="R271" s="2">
        <f t="shared" si="401"/>
        <v>75</v>
      </c>
      <c r="S271" s="2">
        <f t="shared" si="401"/>
        <v>300</v>
      </c>
      <c r="T271" s="2">
        <f t="shared" si="401"/>
        <v>50</v>
      </c>
    </row>
    <row r="272" spans="1:20" s="2" customFormat="1">
      <c r="A272" s="3">
        <v>536</v>
      </c>
      <c r="B272" s="2" t="str">
        <f t="shared" si="307"/>
        <v>祖玛卫士枪精英</v>
      </c>
      <c r="C272" s="2" t="str">
        <f t="shared" si="308"/>
        <v>祖玛寺庙</v>
      </c>
      <c r="D272" s="2">
        <f t="shared" ref="D272:E272" si="402">ROUND(D48*1.5,0)</f>
        <v>30</v>
      </c>
      <c r="E272" s="2">
        <f t="shared" si="402"/>
        <v>48</v>
      </c>
      <c r="F272" s="2">
        <f t="shared" ref="F272:I272" si="403">ROUND(F48*2,0)</f>
        <v>0</v>
      </c>
      <c r="G272" s="2">
        <f t="shared" si="403"/>
        <v>0</v>
      </c>
      <c r="H272" s="2">
        <f t="shared" si="403"/>
        <v>0</v>
      </c>
      <c r="I272" s="2">
        <f t="shared" si="403"/>
        <v>0</v>
      </c>
      <c r="J272" s="2">
        <f t="shared" ref="J272:K272" si="404">ROUND(J48*1.3,0)</f>
        <v>16</v>
      </c>
      <c r="K272" s="2">
        <f t="shared" si="404"/>
        <v>16</v>
      </c>
      <c r="L272" s="2">
        <f t="shared" ref="L272:M272" si="405">ROUND(L48*1.5+5,0)</f>
        <v>23</v>
      </c>
      <c r="M272" s="2">
        <f t="shared" si="405"/>
        <v>23</v>
      </c>
      <c r="N272" s="2">
        <f t="shared" si="325"/>
        <v>1490</v>
      </c>
      <c r="O272" s="2">
        <f t="shared" si="313"/>
        <v>0</v>
      </c>
      <c r="P272" s="2">
        <f t="shared" ref="P272:T272" si="406">P48</f>
        <v>15</v>
      </c>
      <c r="Q272" s="2">
        <f t="shared" si="406"/>
        <v>17</v>
      </c>
      <c r="R272" s="2">
        <f t="shared" si="406"/>
        <v>75</v>
      </c>
      <c r="S272" s="2">
        <f t="shared" si="406"/>
        <v>300</v>
      </c>
      <c r="T272" s="2">
        <f t="shared" si="406"/>
        <v>50</v>
      </c>
    </row>
    <row r="273" spans="1:20" s="2" customFormat="1">
      <c r="A273" s="3">
        <v>537</v>
      </c>
      <c r="B273" s="2" t="str">
        <f t="shared" si="307"/>
        <v>祖玛卫士锤精英</v>
      </c>
      <c r="C273" s="2" t="str">
        <f t="shared" si="308"/>
        <v>祖玛寺庙</v>
      </c>
      <c r="D273" s="2">
        <f t="shared" ref="D273:E273" si="407">ROUND(D49*1.5,0)</f>
        <v>33</v>
      </c>
      <c r="E273" s="2">
        <f t="shared" si="407"/>
        <v>51</v>
      </c>
      <c r="F273" s="2">
        <f t="shared" ref="F273:I273" si="408">ROUND(F49*2,0)</f>
        <v>0</v>
      </c>
      <c r="G273" s="2">
        <f t="shared" si="408"/>
        <v>0</v>
      </c>
      <c r="H273" s="2">
        <f t="shared" si="408"/>
        <v>0</v>
      </c>
      <c r="I273" s="2">
        <f t="shared" si="408"/>
        <v>0</v>
      </c>
      <c r="J273" s="2">
        <f t="shared" ref="J273:K273" si="409">ROUND(J49*1.3,0)</f>
        <v>20</v>
      </c>
      <c r="K273" s="2">
        <f t="shared" si="409"/>
        <v>20</v>
      </c>
      <c r="L273" s="2">
        <f t="shared" ref="L273:M273" si="410">ROUND(L49*1.5+5,0)</f>
        <v>28</v>
      </c>
      <c r="M273" s="2">
        <f t="shared" si="410"/>
        <v>28</v>
      </c>
      <c r="N273" s="2">
        <f t="shared" si="325"/>
        <v>1490</v>
      </c>
      <c r="O273" s="2">
        <f t="shared" si="313"/>
        <v>0</v>
      </c>
      <c r="P273" s="2">
        <f t="shared" ref="P273:T273" si="411">P49</f>
        <v>15</v>
      </c>
      <c r="Q273" s="2">
        <f t="shared" si="411"/>
        <v>17</v>
      </c>
      <c r="R273" s="2">
        <f t="shared" si="411"/>
        <v>75</v>
      </c>
      <c r="S273" s="2">
        <f t="shared" si="411"/>
        <v>300</v>
      </c>
      <c r="T273" s="2">
        <f t="shared" si="411"/>
        <v>50</v>
      </c>
    </row>
    <row r="274" spans="1:20" s="2" customFormat="1">
      <c r="A274" s="3">
        <v>541</v>
      </c>
      <c r="B274" s="2" t="str">
        <f t="shared" si="307"/>
        <v>角蝇巢穴精英</v>
      </c>
      <c r="C274" s="2" t="str">
        <f t="shared" si="308"/>
        <v>祖玛寺庙</v>
      </c>
      <c r="D274" s="2">
        <f t="shared" ref="D274:E274" si="412">ROUND(D50*1.5,0)</f>
        <v>0</v>
      </c>
      <c r="E274" s="2">
        <f t="shared" si="412"/>
        <v>0</v>
      </c>
      <c r="F274" s="2">
        <f t="shared" ref="F274:I274" si="413">ROUND(F50*2,0)</f>
        <v>0</v>
      </c>
      <c r="G274" s="2">
        <f t="shared" si="413"/>
        <v>0</v>
      </c>
      <c r="H274" s="2">
        <f t="shared" si="413"/>
        <v>0</v>
      </c>
      <c r="I274" s="2">
        <f t="shared" si="413"/>
        <v>0</v>
      </c>
      <c r="J274" s="2">
        <f t="shared" ref="J274:K274" si="414">ROUND(J50*1.3,0)</f>
        <v>0</v>
      </c>
      <c r="K274" s="2">
        <f t="shared" si="414"/>
        <v>0</v>
      </c>
      <c r="L274" s="2">
        <f t="shared" ref="L274:M274" si="415">ROUND(L50*1.5+5,0)</f>
        <v>14</v>
      </c>
      <c r="M274" s="2">
        <f t="shared" si="415"/>
        <v>14</v>
      </c>
      <c r="N274" s="2">
        <f t="shared" si="325"/>
        <v>600</v>
      </c>
      <c r="O274" s="2">
        <f t="shared" si="313"/>
        <v>0</v>
      </c>
      <c r="P274" s="2">
        <f t="shared" ref="P274:T274" si="416">P50</f>
        <v>1</v>
      </c>
      <c r="Q274" s="2">
        <f t="shared" si="416"/>
        <v>1</v>
      </c>
      <c r="R274" s="2">
        <f t="shared" si="416"/>
        <v>75</v>
      </c>
      <c r="S274" s="2">
        <f t="shared" si="416"/>
        <v>300</v>
      </c>
      <c r="T274" s="2">
        <f t="shared" si="416"/>
        <v>50</v>
      </c>
    </row>
    <row r="275" spans="1:20" s="2" customFormat="1">
      <c r="A275" s="3">
        <v>539</v>
      </c>
      <c r="B275" s="2" t="str">
        <f t="shared" si="307"/>
        <v>角蝇精英</v>
      </c>
      <c r="C275" s="2" t="str">
        <f t="shared" si="308"/>
        <v>祖玛寺庙</v>
      </c>
      <c r="D275" s="2">
        <f t="shared" ref="D275:E275" si="417">ROUND(D51*1.5,0)</f>
        <v>0</v>
      </c>
      <c r="E275" s="2">
        <f t="shared" si="417"/>
        <v>33</v>
      </c>
      <c r="F275" s="2">
        <f t="shared" ref="F275:I275" si="418">ROUND(F51*2,0)</f>
        <v>0</v>
      </c>
      <c r="G275" s="2">
        <f t="shared" si="418"/>
        <v>0</v>
      </c>
      <c r="H275" s="2">
        <f t="shared" si="418"/>
        <v>0</v>
      </c>
      <c r="I275" s="2">
        <f t="shared" si="418"/>
        <v>0</v>
      </c>
      <c r="J275" s="2">
        <f t="shared" ref="J275:K275" si="419">ROUND(J51*1.3,0)</f>
        <v>0</v>
      </c>
      <c r="K275" s="2">
        <f t="shared" si="419"/>
        <v>0</v>
      </c>
      <c r="L275" s="2">
        <f t="shared" ref="L275:M275" si="420">ROUND(L51*1.5+5,0)</f>
        <v>5</v>
      </c>
      <c r="M275" s="2">
        <f t="shared" si="420"/>
        <v>5</v>
      </c>
      <c r="N275" s="2">
        <f t="shared" si="325"/>
        <v>10</v>
      </c>
      <c r="O275" s="2">
        <f t="shared" si="313"/>
        <v>0</v>
      </c>
      <c r="P275" s="2">
        <f t="shared" ref="P275:T275" si="421">P51</f>
        <v>18</v>
      </c>
      <c r="Q275" s="2">
        <f t="shared" si="421"/>
        <v>5</v>
      </c>
      <c r="R275" s="2">
        <f t="shared" si="421"/>
        <v>75</v>
      </c>
      <c r="S275" s="2">
        <f t="shared" si="421"/>
        <v>300</v>
      </c>
      <c r="T275" s="2">
        <f t="shared" si="421"/>
        <v>50</v>
      </c>
    </row>
    <row r="276" spans="1:20" s="2" customFormat="1">
      <c r="A276" s="3">
        <v>540</v>
      </c>
      <c r="B276" s="2" t="str">
        <f t="shared" si="307"/>
        <v>楔蛾精英</v>
      </c>
      <c r="C276" s="2" t="str">
        <f t="shared" si="308"/>
        <v>祖玛寺庙</v>
      </c>
      <c r="D276" s="2">
        <f t="shared" ref="D276:E276" si="422">ROUND(D52*1.5,0)</f>
        <v>20</v>
      </c>
      <c r="E276" s="2">
        <f t="shared" si="422"/>
        <v>27</v>
      </c>
      <c r="F276" s="2">
        <f t="shared" ref="F276:I276" si="423">ROUND(F52*2,0)</f>
        <v>0</v>
      </c>
      <c r="G276" s="2">
        <f t="shared" si="423"/>
        <v>0</v>
      </c>
      <c r="H276" s="2">
        <f t="shared" si="423"/>
        <v>0</v>
      </c>
      <c r="I276" s="2">
        <f t="shared" si="423"/>
        <v>0</v>
      </c>
      <c r="J276" s="2">
        <f t="shared" ref="J276:K276" si="424">ROUND(J52*1.3,0)</f>
        <v>0</v>
      </c>
      <c r="K276" s="2">
        <f t="shared" si="424"/>
        <v>0</v>
      </c>
      <c r="L276" s="2">
        <f t="shared" ref="L276:M276" si="425">ROUND(L52*1.5+5,0)</f>
        <v>13</v>
      </c>
      <c r="M276" s="2">
        <f t="shared" si="425"/>
        <v>13</v>
      </c>
      <c r="N276" s="2">
        <f t="shared" si="325"/>
        <v>660</v>
      </c>
      <c r="O276" s="2">
        <f t="shared" si="313"/>
        <v>0</v>
      </c>
      <c r="P276" s="2">
        <f t="shared" ref="P276:T276" si="426">P52</f>
        <v>15</v>
      </c>
      <c r="Q276" s="2">
        <f t="shared" si="426"/>
        <v>17</v>
      </c>
      <c r="R276" s="2">
        <f t="shared" si="426"/>
        <v>75</v>
      </c>
      <c r="S276" s="2">
        <f t="shared" si="426"/>
        <v>300</v>
      </c>
      <c r="T276" s="2">
        <f t="shared" si="426"/>
        <v>50</v>
      </c>
    </row>
    <row r="277" spans="1:20" s="2" customFormat="1">
      <c r="A277" s="3">
        <v>542</v>
      </c>
      <c r="B277" s="2" t="str">
        <f t="shared" si="307"/>
        <v>鹰卫精英</v>
      </c>
      <c r="C277" s="2" t="str">
        <f t="shared" si="308"/>
        <v>赤月峡谷</v>
      </c>
      <c r="D277" s="2">
        <f t="shared" ref="D277:E277" si="427">ROUND(D53*1.5,0)</f>
        <v>45</v>
      </c>
      <c r="E277" s="2">
        <f t="shared" si="427"/>
        <v>75</v>
      </c>
      <c r="F277" s="2">
        <f t="shared" ref="F277:I277" si="428">ROUND(F53*2,0)</f>
        <v>0</v>
      </c>
      <c r="G277" s="2">
        <f t="shared" si="428"/>
        <v>0</v>
      </c>
      <c r="H277" s="2">
        <f t="shared" si="428"/>
        <v>0</v>
      </c>
      <c r="I277" s="2">
        <f t="shared" si="428"/>
        <v>0</v>
      </c>
      <c r="J277" s="2">
        <f t="shared" ref="J277:K277" si="429">ROUND(J53*1.3,0)</f>
        <v>20</v>
      </c>
      <c r="K277" s="2">
        <f t="shared" si="429"/>
        <v>20</v>
      </c>
      <c r="L277" s="2">
        <f t="shared" ref="L277:M277" si="430">ROUND(L53*1.5+5,0)</f>
        <v>32</v>
      </c>
      <c r="M277" s="2">
        <f t="shared" si="430"/>
        <v>32</v>
      </c>
      <c r="N277" s="2">
        <f t="shared" si="325"/>
        <v>4500</v>
      </c>
      <c r="O277" s="2">
        <f t="shared" si="313"/>
        <v>0</v>
      </c>
      <c r="P277" s="2">
        <f t="shared" ref="P277:T277" si="431">P53</f>
        <v>15</v>
      </c>
      <c r="Q277" s="2">
        <f t="shared" si="431"/>
        <v>20</v>
      </c>
      <c r="R277" s="2">
        <f t="shared" si="431"/>
        <v>75</v>
      </c>
      <c r="S277" s="2">
        <f t="shared" si="431"/>
        <v>300</v>
      </c>
      <c r="T277" s="2">
        <f t="shared" si="431"/>
        <v>50</v>
      </c>
    </row>
    <row r="278" spans="1:20" s="2" customFormat="1">
      <c r="A278" s="3">
        <v>543</v>
      </c>
      <c r="B278" s="2" t="str">
        <f t="shared" si="307"/>
        <v>月魔蜘蛛精英</v>
      </c>
      <c r="C278" s="2" t="str">
        <f t="shared" si="308"/>
        <v>赤月峡谷</v>
      </c>
      <c r="D278" s="2">
        <f t="shared" ref="D278:E278" si="432">ROUND(D54*1.5,0)</f>
        <v>41</v>
      </c>
      <c r="E278" s="2">
        <f t="shared" si="432"/>
        <v>41</v>
      </c>
      <c r="F278" s="2">
        <f t="shared" ref="F278:I278" si="433">ROUND(F54*2,0)</f>
        <v>0</v>
      </c>
      <c r="G278" s="2">
        <f t="shared" si="433"/>
        <v>0</v>
      </c>
      <c r="H278" s="2">
        <f t="shared" si="433"/>
        <v>0</v>
      </c>
      <c r="I278" s="2">
        <f t="shared" si="433"/>
        <v>0</v>
      </c>
      <c r="J278" s="2">
        <f t="shared" ref="J278:K278" si="434">ROUND(J54*1.3,0)</f>
        <v>16</v>
      </c>
      <c r="K278" s="2">
        <f t="shared" si="434"/>
        <v>16</v>
      </c>
      <c r="L278" s="2">
        <f t="shared" ref="L278:M278" si="435">ROUND(L54*1.5+5,0)</f>
        <v>47</v>
      </c>
      <c r="M278" s="2">
        <f t="shared" si="435"/>
        <v>47</v>
      </c>
      <c r="N278" s="2">
        <f t="shared" si="325"/>
        <v>2550</v>
      </c>
      <c r="O278" s="2">
        <f t="shared" si="313"/>
        <v>0</v>
      </c>
      <c r="P278" s="2">
        <f t="shared" ref="P278:T278" si="436">P54</f>
        <v>50</v>
      </c>
      <c r="Q278" s="2">
        <f t="shared" si="436"/>
        <v>20</v>
      </c>
      <c r="R278" s="2">
        <f t="shared" si="436"/>
        <v>75</v>
      </c>
      <c r="S278" s="2">
        <f t="shared" si="436"/>
        <v>300</v>
      </c>
      <c r="T278" s="2">
        <f t="shared" si="436"/>
        <v>50</v>
      </c>
    </row>
    <row r="279" spans="1:20" s="2" customFormat="1">
      <c r="A279" s="3">
        <v>544</v>
      </c>
      <c r="B279" s="2" t="str">
        <f t="shared" si="307"/>
        <v>天狼蜘蛛精英</v>
      </c>
      <c r="C279" s="2" t="str">
        <f t="shared" si="308"/>
        <v>赤月峡谷</v>
      </c>
      <c r="D279" s="2">
        <f t="shared" ref="D279:E279" si="437">ROUND(D55*1.5,0)</f>
        <v>33</v>
      </c>
      <c r="E279" s="2">
        <f t="shared" si="437"/>
        <v>51</v>
      </c>
      <c r="F279" s="2">
        <f t="shared" ref="F279:I279" si="438">ROUND(F55*2,0)</f>
        <v>0</v>
      </c>
      <c r="G279" s="2">
        <f t="shared" si="438"/>
        <v>0</v>
      </c>
      <c r="H279" s="2">
        <f t="shared" si="438"/>
        <v>0</v>
      </c>
      <c r="I279" s="2">
        <f t="shared" si="438"/>
        <v>0</v>
      </c>
      <c r="J279" s="2">
        <f t="shared" ref="J279:K279" si="439">ROUND(J55*1.3,0)</f>
        <v>10</v>
      </c>
      <c r="K279" s="2">
        <f t="shared" si="439"/>
        <v>10</v>
      </c>
      <c r="L279" s="2">
        <f t="shared" ref="L279:M279" si="440">ROUND(L55*1.5+5,0)</f>
        <v>35</v>
      </c>
      <c r="M279" s="2">
        <f t="shared" si="440"/>
        <v>35</v>
      </c>
      <c r="N279" s="2">
        <f t="shared" si="325"/>
        <v>1500</v>
      </c>
      <c r="O279" s="2">
        <f t="shared" si="313"/>
        <v>0</v>
      </c>
      <c r="P279" s="2">
        <f t="shared" ref="P279:T279" si="441">P55</f>
        <v>15</v>
      </c>
      <c r="Q279" s="2">
        <f t="shared" si="441"/>
        <v>17</v>
      </c>
      <c r="R279" s="2">
        <f t="shared" si="441"/>
        <v>75</v>
      </c>
      <c r="S279" s="2">
        <f t="shared" si="441"/>
        <v>300</v>
      </c>
      <c r="T279" s="2">
        <f t="shared" si="441"/>
        <v>50</v>
      </c>
    </row>
    <row r="280" spans="1:20" s="2" customFormat="1">
      <c r="A280" s="3">
        <v>545</v>
      </c>
      <c r="B280" s="2" t="str">
        <f t="shared" si="307"/>
        <v>钢牙蜘蛛精英</v>
      </c>
      <c r="C280" s="2" t="str">
        <f t="shared" si="308"/>
        <v>赤月峡谷</v>
      </c>
      <c r="D280" s="2">
        <f t="shared" ref="D280:E280" si="442">ROUND(D56*1.5,0)</f>
        <v>53</v>
      </c>
      <c r="E280" s="2">
        <f t="shared" si="442"/>
        <v>75</v>
      </c>
      <c r="F280" s="2">
        <f t="shared" ref="F280:I280" si="443">ROUND(F56*2,0)</f>
        <v>0</v>
      </c>
      <c r="G280" s="2">
        <f t="shared" si="443"/>
        <v>0</v>
      </c>
      <c r="H280" s="2">
        <f t="shared" si="443"/>
        <v>0</v>
      </c>
      <c r="I280" s="2">
        <f t="shared" si="443"/>
        <v>0</v>
      </c>
      <c r="J280" s="2">
        <f t="shared" ref="J280:K280" si="444">ROUND(J56*1.3,0)</f>
        <v>17</v>
      </c>
      <c r="K280" s="2">
        <f t="shared" si="444"/>
        <v>17</v>
      </c>
      <c r="L280" s="2">
        <f t="shared" ref="L280:M280" si="445">ROUND(L56*1.5+5,0)</f>
        <v>55</v>
      </c>
      <c r="M280" s="2">
        <f t="shared" si="445"/>
        <v>55</v>
      </c>
      <c r="N280" s="2">
        <f t="shared" si="325"/>
        <v>2400</v>
      </c>
      <c r="O280" s="2">
        <f t="shared" si="313"/>
        <v>0</v>
      </c>
      <c r="P280" s="2">
        <f t="shared" ref="P280:T280" si="446">P56</f>
        <v>20</v>
      </c>
      <c r="Q280" s="2">
        <f t="shared" si="446"/>
        <v>17</v>
      </c>
      <c r="R280" s="2">
        <f t="shared" si="446"/>
        <v>75</v>
      </c>
      <c r="S280" s="2">
        <f t="shared" si="446"/>
        <v>300</v>
      </c>
      <c r="T280" s="2">
        <f t="shared" si="446"/>
        <v>50</v>
      </c>
    </row>
    <row r="281" spans="1:20" s="2" customFormat="1">
      <c r="A281" s="3">
        <v>546</v>
      </c>
      <c r="B281" s="2" t="str">
        <f t="shared" si="307"/>
        <v>花吻蜘蛛精英</v>
      </c>
      <c r="C281" s="2" t="str">
        <f t="shared" si="308"/>
        <v>赤月峡谷</v>
      </c>
      <c r="D281" s="2">
        <f t="shared" ref="D281:E281" si="447">ROUND(D57*1.5,0)</f>
        <v>30</v>
      </c>
      <c r="E281" s="2">
        <f t="shared" si="447"/>
        <v>90</v>
      </c>
      <c r="F281" s="2">
        <f t="shared" ref="F281:I281" si="448">ROUND(F57*2,0)</f>
        <v>0</v>
      </c>
      <c r="G281" s="2">
        <f t="shared" si="448"/>
        <v>0</v>
      </c>
      <c r="H281" s="2">
        <f t="shared" si="448"/>
        <v>0</v>
      </c>
      <c r="I281" s="2">
        <f t="shared" si="448"/>
        <v>0</v>
      </c>
      <c r="J281" s="2">
        <f t="shared" ref="J281:K281" si="449">ROUND(J57*1.3,0)</f>
        <v>16</v>
      </c>
      <c r="K281" s="2">
        <f t="shared" si="449"/>
        <v>16</v>
      </c>
      <c r="L281" s="2">
        <f t="shared" ref="L281:M281" si="450">ROUND(L57*1.5+5,0)</f>
        <v>46</v>
      </c>
      <c r="M281" s="2">
        <f t="shared" si="450"/>
        <v>46</v>
      </c>
      <c r="N281" s="2">
        <f t="shared" si="325"/>
        <v>2250</v>
      </c>
      <c r="O281" s="2">
        <f t="shared" si="313"/>
        <v>0</v>
      </c>
      <c r="P281" s="2">
        <f t="shared" ref="P281:T281" si="451">P57</f>
        <v>17</v>
      </c>
      <c r="Q281" s="2">
        <f t="shared" si="451"/>
        <v>25</v>
      </c>
      <c r="R281" s="2">
        <f t="shared" si="451"/>
        <v>75</v>
      </c>
      <c r="S281" s="2">
        <f t="shared" si="451"/>
        <v>300</v>
      </c>
      <c r="T281" s="2">
        <f t="shared" si="451"/>
        <v>50</v>
      </c>
    </row>
    <row r="282" spans="1:20" s="2" customFormat="1">
      <c r="A282" s="3">
        <v>547</v>
      </c>
      <c r="B282" s="2" t="str">
        <f t="shared" si="307"/>
        <v>黑锷蜘蛛精英</v>
      </c>
      <c r="C282" s="2" t="str">
        <f t="shared" si="308"/>
        <v>赤月峡谷</v>
      </c>
      <c r="D282" s="2">
        <f t="shared" ref="D282:E282" si="452">ROUND(D58*1.5,0)</f>
        <v>23</v>
      </c>
      <c r="E282" s="2">
        <f t="shared" si="452"/>
        <v>113</v>
      </c>
      <c r="F282" s="2">
        <f t="shared" ref="F282:I282" si="453">ROUND(F58*2,0)</f>
        <v>0</v>
      </c>
      <c r="G282" s="2">
        <f t="shared" si="453"/>
        <v>0</v>
      </c>
      <c r="H282" s="2">
        <f t="shared" si="453"/>
        <v>0</v>
      </c>
      <c r="I282" s="2">
        <f t="shared" si="453"/>
        <v>0</v>
      </c>
      <c r="J282" s="2">
        <f t="shared" ref="J282:K282" si="454">ROUND(J58*1.3,0)</f>
        <v>14</v>
      </c>
      <c r="K282" s="2">
        <f t="shared" si="454"/>
        <v>14</v>
      </c>
      <c r="L282" s="2">
        <f t="shared" ref="L282:M282" si="455">ROUND(L58*1.5+5,0)</f>
        <v>50</v>
      </c>
      <c r="M282" s="2">
        <f t="shared" si="455"/>
        <v>50</v>
      </c>
      <c r="N282" s="2">
        <f t="shared" si="325"/>
        <v>3600</v>
      </c>
      <c r="O282" s="2">
        <f t="shared" si="313"/>
        <v>0</v>
      </c>
      <c r="P282" s="2">
        <f t="shared" ref="P282:T282" si="456">P58</f>
        <v>17</v>
      </c>
      <c r="Q282" s="2">
        <f t="shared" si="456"/>
        <v>17</v>
      </c>
      <c r="R282" s="2">
        <f t="shared" si="456"/>
        <v>75</v>
      </c>
      <c r="S282" s="2">
        <f t="shared" si="456"/>
        <v>300</v>
      </c>
      <c r="T282" s="2">
        <f t="shared" si="456"/>
        <v>50</v>
      </c>
    </row>
    <row r="283" spans="1:20" s="2" customFormat="1">
      <c r="A283" s="3">
        <v>548</v>
      </c>
      <c r="B283" s="2" t="str">
        <f t="shared" si="307"/>
        <v>幻影蜘蛛精英</v>
      </c>
      <c r="C283" s="2" t="str">
        <f t="shared" si="308"/>
        <v>赤月峡谷</v>
      </c>
      <c r="D283" s="2">
        <f t="shared" ref="D283:E283" si="457">ROUND(D59*1.5,0)</f>
        <v>0</v>
      </c>
      <c r="E283" s="2">
        <f t="shared" si="457"/>
        <v>0</v>
      </c>
      <c r="F283" s="2">
        <f t="shared" ref="F283:I283" si="458">ROUND(F59*2,0)</f>
        <v>0</v>
      </c>
      <c r="G283" s="2">
        <f t="shared" si="458"/>
        <v>0</v>
      </c>
      <c r="H283" s="2">
        <f t="shared" si="458"/>
        <v>0</v>
      </c>
      <c r="I283" s="2">
        <f t="shared" si="458"/>
        <v>0</v>
      </c>
      <c r="J283" s="2">
        <f t="shared" ref="J283:K283" si="459">ROUND(J59*1.3,0)</f>
        <v>13</v>
      </c>
      <c r="K283" s="2">
        <f t="shared" si="459"/>
        <v>13</v>
      </c>
      <c r="L283" s="2">
        <f t="shared" ref="L283:M283" si="460">ROUND(L59*1.5+5,0)</f>
        <v>40</v>
      </c>
      <c r="M283" s="2">
        <f t="shared" si="460"/>
        <v>40</v>
      </c>
      <c r="N283" s="2">
        <f t="shared" si="325"/>
        <v>3600</v>
      </c>
      <c r="O283" s="2">
        <f t="shared" si="313"/>
        <v>0</v>
      </c>
      <c r="P283" s="2">
        <f t="shared" ref="P283:T283" si="461">P59</f>
        <v>1</v>
      </c>
      <c r="Q283" s="2">
        <f t="shared" si="461"/>
        <v>1</v>
      </c>
      <c r="R283" s="2">
        <f t="shared" si="461"/>
        <v>75</v>
      </c>
      <c r="S283" s="2">
        <f t="shared" si="461"/>
        <v>300</v>
      </c>
      <c r="T283" s="2">
        <f t="shared" si="461"/>
        <v>50</v>
      </c>
    </row>
    <row r="284" spans="1:20" s="2" customFormat="1">
      <c r="A284" s="3">
        <v>549</v>
      </c>
      <c r="B284" s="2" t="str">
        <f t="shared" si="307"/>
        <v>爆裂蜘蛛精英</v>
      </c>
      <c r="C284" s="2" t="str">
        <f t="shared" si="308"/>
        <v>赤月峡谷</v>
      </c>
      <c r="D284" s="2">
        <f t="shared" ref="D284:E284" si="462">ROUND(D60*1.5,0)</f>
        <v>30</v>
      </c>
      <c r="E284" s="2">
        <f t="shared" si="462"/>
        <v>30</v>
      </c>
      <c r="F284" s="2">
        <f t="shared" ref="F284:I284" si="463">ROUND(F60*2,0)</f>
        <v>0</v>
      </c>
      <c r="G284" s="2">
        <f t="shared" si="463"/>
        <v>0</v>
      </c>
      <c r="H284" s="2">
        <f t="shared" si="463"/>
        <v>0</v>
      </c>
      <c r="I284" s="2">
        <f t="shared" si="463"/>
        <v>0</v>
      </c>
      <c r="J284" s="2">
        <f t="shared" ref="J284:K284" si="464">ROUND(J60*1.3,0)</f>
        <v>0</v>
      </c>
      <c r="K284" s="2">
        <f t="shared" si="464"/>
        <v>0</v>
      </c>
      <c r="L284" s="2">
        <f t="shared" ref="L284:M284" si="465">ROUND(L60*1.5+5,0)</f>
        <v>5</v>
      </c>
      <c r="M284" s="2">
        <f t="shared" si="465"/>
        <v>5</v>
      </c>
      <c r="N284" s="2">
        <f t="shared" si="325"/>
        <v>30</v>
      </c>
      <c r="O284" s="2">
        <f t="shared" si="313"/>
        <v>0</v>
      </c>
      <c r="P284" s="2">
        <f t="shared" ref="P284:T284" si="466">P60</f>
        <v>30</v>
      </c>
      <c r="Q284" s="2">
        <f t="shared" si="466"/>
        <v>30</v>
      </c>
      <c r="R284" s="2">
        <f t="shared" si="466"/>
        <v>75</v>
      </c>
      <c r="S284" s="2">
        <f t="shared" si="466"/>
        <v>300</v>
      </c>
      <c r="T284" s="2">
        <f t="shared" si="466"/>
        <v>50</v>
      </c>
    </row>
    <row r="285" spans="1:20" s="2" customFormat="1">
      <c r="A285" s="3">
        <v>550</v>
      </c>
      <c r="B285" s="2" t="str">
        <f t="shared" si="307"/>
        <v>血巨人精英</v>
      </c>
      <c r="C285" s="2" t="str">
        <f t="shared" si="308"/>
        <v>赤月峡谷</v>
      </c>
      <c r="D285" s="2">
        <f t="shared" ref="D285:E285" si="467">ROUND(D61*1.5,0)</f>
        <v>53</v>
      </c>
      <c r="E285" s="2">
        <f t="shared" si="467"/>
        <v>105</v>
      </c>
      <c r="F285" s="2">
        <f t="shared" ref="F285:I285" si="468">ROUND(F61*2,0)</f>
        <v>0</v>
      </c>
      <c r="G285" s="2">
        <f t="shared" si="468"/>
        <v>0</v>
      </c>
      <c r="H285" s="2">
        <f t="shared" si="468"/>
        <v>0</v>
      </c>
      <c r="I285" s="2">
        <f t="shared" si="468"/>
        <v>0</v>
      </c>
      <c r="J285" s="2">
        <f t="shared" ref="J285:K285" si="469">ROUND(J61*1.3,0)</f>
        <v>20</v>
      </c>
      <c r="K285" s="2">
        <f t="shared" si="469"/>
        <v>20</v>
      </c>
      <c r="L285" s="2">
        <f t="shared" ref="L285:M285" si="470">ROUND(L61*1.5+5,0)</f>
        <v>50</v>
      </c>
      <c r="M285" s="2">
        <f t="shared" si="470"/>
        <v>50</v>
      </c>
      <c r="N285" s="2">
        <f t="shared" si="325"/>
        <v>3600</v>
      </c>
      <c r="O285" s="2">
        <f t="shared" si="313"/>
        <v>0</v>
      </c>
      <c r="P285" s="2">
        <f t="shared" ref="P285:T285" si="471">P61</f>
        <v>17</v>
      </c>
      <c r="Q285" s="2">
        <f t="shared" si="471"/>
        <v>20</v>
      </c>
      <c r="R285" s="2">
        <f t="shared" si="471"/>
        <v>75</v>
      </c>
      <c r="S285" s="2">
        <f t="shared" si="471"/>
        <v>300</v>
      </c>
      <c r="T285" s="2">
        <f t="shared" si="471"/>
        <v>50</v>
      </c>
    </row>
    <row r="286" spans="1:20" s="2" customFormat="1">
      <c r="A286" s="3">
        <v>551</v>
      </c>
      <c r="B286" s="2" t="str">
        <f t="shared" si="307"/>
        <v>血僵尸精英</v>
      </c>
      <c r="C286" s="2" t="str">
        <f t="shared" si="308"/>
        <v>赤月峡谷</v>
      </c>
      <c r="D286" s="2">
        <f t="shared" ref="D286:E287" si="472">ROUND(D62*1.5,0)</f>
        <v>53</v>
      </c>
      <c r="E286" s="2">
        <f t="shared" si="472"/>
        <v>75</v>
      </c>
      <c r="F286" s="2">
        <f t="shared" ref="F286:I287" si="473">ROUND(F62*2,0)</f>
        <v>0</v>
      </c>
      <c r="G286" s="2">
        <f t="shared" si="473"/>
        <v>0</v>
      </c>
      <c r="H286" s="2">
        <f t="shared" si="473"/>
        <v>0</v>
      </c>
      <c r="I286" s="2">
        <f t="shared" si="473"/>
        <v>0</v>
      </c>
      <c r="J286" s="2">
        <f t="shared" ref="J286:K287" si="474">ROUND(J62*1.3,0)</f>
        <v>23</v>
      </c>
      <c r="K286" s="2">
        <f t="shared" si="474"/>
        <v>23</v>
      </c>
      <c r="L286" s="2">
        <f t="shared" ref="L286:M287" si="475">ROUND(L62*1.5+5,0)</f>
        <v>50</v>
      </c>
      <c r="M286" s="2">
        <f t="shared" si="475"/>
        <v>50</v>
      </c>
      <c r="N286" s="2">
        <f t="shared" si="325"/>
        <v>3600</v>
      </c>
      <c r="O286" s="2">
        <f t="shared" si="313"/>
        <v>0</v>
      </c>
      <c r="P286" s="2">
        <f t="shared" ref="P286:T287" si="476">P62</f>
        <v>25</v>
      </c>
      <c r="Q286" s="2">
        <f t="shared" si="476"/>
        <v>10</v>
      </c>
      <c r="R286" s="2">
        <f t="shared" si="476"/>
        <v>75</v>
      </c>
      <c r="S286" s="2">
        <f t="shared" si="476"/>
        <v>300</v>
      </c>
      <c r="T286" s="2">
        <f t="shared" si="476"/>
        <v>50</v>
      </c>
    </row>
    <row r="287" spans="1:20" s="2" customFormat="1">
      <c r="A287" s="3">
        <v>552</v>
      </c>
      <c r="B287" s="2" t="str">
        <f t="shared" si="307"/>
        <v>暴牙蜘蛛精英</v>
      </c>
      <c r="C287" s="2" t="str">
        <f t="shared" si="308"/>
        <v>赤月峡谷</v>
      </c>
      <c r="D287" s="2">
        <f t="shared" si="472"/>
        <v>33</v>
      </c>
      <c r="E287" s="2">
        <f t="shared" si="472"/>
        <v>51</v>
      </c>
      <c r="F287" s="2">
        <f t="shared" si="473"/>
        <v>0</v>
      </c>
      <c r="G287" s="2">
        <f t="shared" si="473"/>
        <v>0</v>
      </c>
      <c r="H287" s="2">
        <f t="shared" si="473"/>
        <v>0</v>
      </c>
      <c r="I287" s="2">
        <f t="shared" si="473"/>
        <v>0</v>
      </c>
      <c r="J287" s="2">
        <f t="shared" si="474"/>
        <v>16</v>
      </c>
      <c r="K287" s="2">
        <f t="shared" si="474"/>
        <v>16</v>
      </c>
      <c r="L287" s="2">
        <f t="shared" si="475"/>
        <v>50</v>
      </c>
      <c r="M287" s="2">
        <f t="shared" si="475"/>
        <v>50</v>
      </c>
      <c r="N287" s="2">
        <f t="shared" si="325"/>
        <v>1500</v>
      </c>
      <c r="O287" s="2">
        <f t="shared" si="313"/>
        <v>0</v>
      </c>
      <c r="P287" s="2">
        <f t="shared" si="476"/>
        <v>17</v>
      </c>
      <c r="Q287" s="2">
        <f t="shared" si="476"/>
        <v>17</v>
      </c>
      <c r="R287" s="2">
        <f t="shared" si="476"/>
        <v>75</v>
      </c>
      <c r="S287" s="2">
        <f t="shared" si="476"/>
        <v>300</v>
      </c>
      <c r="T287" s="2">
        <f t="shared" si="476"/>
        <v>50</v>
      </c>
    </row>
    <row r="288" spans="1:20" s="4" customFormat="1">
      <c r="A288" s="5">
        <v>701</v>
      </c>
      <c r="B288" s="5" t="s">
        <v>72</v>
      </c>
      <c r="C288" s="5" t="s">
        <v>120</v>
      </c>
      <c r="D288" s="4">
        <v>5</v>
      </c>
      <c r="E288" s="4">
        <v>12</v>
      </c>
      <c r="F288" s="4">
        <v>0</v>
      </c>
      <c r="G288" s="4">
        <v>0</v>
      </c>
      <c r="H288" s="4">
        <v>0</v>
      </c>
      <c r="I288" s="4">
        <v>0</v>
      </c>
      <c r="J288" s="4">
        <v>1</v>
      </c>
      <c r="K288" s="4">
        <v>1</v>
      </c>
      <c r="L288" s="4">
        <v>0</v>
      </c>
      <c r="M288" s="4">
        <v>0</v>
      </c>
      <c r="N288" s="4">
        <v>60</v>
      </c>
      <c r="O288" s="4">
        <v>0</v>
      </c>
      <c r="P288" s="4">
        <v>8</v>
      </c>
      <c r="Q288" s="4">
        <v>10</v>
      </c>
      <c r="R288" s="4">
        <v>75</v>
      </c>
      <c r="S288" s="4">
        <v>300</v>
      </c>
      <c r="T288" s="4">
        <v>50</v>
      </c>
    </row>
    <row r="289" spans="1:20" s="4" customFormat="1">
      <c r="A289" s="5">
        <v>702</v>
      </c>
      <c r="B289" s="5" t="s">
        <v>73</v>
      </c>
      <c r="C289" s="5" t="s">
        <v>88</v>
      </c>
      <c r="D289" s="4">
        <v>6</v>
      </c>
      <c r="E289" s="4">
        <v>14</v>
      </c>
      <c r="F289" s="4">
        <v>0</v>
      </c>
      <c r="G289" s="4">
        <v>0</v>
      </c>
      <c r="H289" s="4">
        <v>0</v>
      </c>
      <c r="I289" s="4">
        <v>0</v>
      </c>
      <c r="J289" s="4">
        <v>1</v>
      </c>
      <c r="K289" s="4">
        <v>1</v>
      </c>
      <c r="L289" s="4">
        <v>0</v>
      </c>
      <c r="M289" s="4">
        <v>0</v>
      </c>
      <c r="N289" s="4">
        <v>80</v>
      </c>
      <c r="O289" s="4">
        <v>0</v>
      </c>
      <c r="P289" s="4">
        <v>9</v>
      </c>
      <c r="Q289" s="4">
        <v>11</v>
      </c>
      <c r="R289" s="4">
        <v>75</v>
      </c>
      <c r="S289" s="4">
        <v>300</v>
      </c>
      <c r="T289" s="4">
        <v>50</v>
      </c>
    </row>
    <row r="290" spans="1:20" s="4" customFormat="1">
      <c r="A290" s="5">
        <v>703</v>
      </c>
      <c r="B290" s="5" t="s">
        <v>74</v>
      </c>
      <c r="C290" s="5" t="s">
        <v>88</v>
      </c>
      <c r="D290" s="4">
        <v>7</v>
      </c>
      <c r="E290" s="4">
        <v>16</v>
      </c>
      <c r="F290" s="4">
        <v>0</v>
      </c>
      <c r="G290" s="4">
        <v>0</v>
      </c>
      <c r="H290" s="4">
        <v>0</v>
      </c>
      <c r="I290" s="4">
        <v>0</v>
      </c>
      <c r="J290" s="4">
        <v>1</v>
      </c>
      <c r="K290" s="4">
        <v>1</v>
      </c>
      <c r="L290" s="4">
        <v>0</v>
      </c>
      <c r="M290" s="4">
        <v>0</v>
      </c>
      <c r="N290" s="4">
        <v>100</v>
      </c>
      <c r="O290" s="4">
        <v>0</v>
      </c>
      <c r="P290" s="4">
        <v>10</v>
      </c>
      <c r="Q290" s="4">
        <v>12</v>
      </c>
      <c r="R290" s="4">
        <v>75</v>
      </c>
      <c r="S290" s="4">
        <v>300</v>
      </c>
      <c r="T290" s="4">
        <v>50</v>
      </c>
    </row>
    <row r="291" spans="1:20" s="4" customFormat="1">
      <c r="A291" s="5">
        <v>704</v>
      </c>
      <c r="B291" s="5" t="s">
        <v>75</v>
      </c>
      <c r="C291" s="5" t="s">
        <v>89</v>
      </c>
      <c r="D291" s="4">
        <v>12</v>
      </c>
      <c r="E291" s="4">
        <v>25</v>
      </c>
      <c r="F291" s="4">
        <v>0</v>
      </c>
      <c r="G291" s="4">
        <v>0</v>
      </c>
      <c r="H291" s="4">
        <v>0</v>
      </c>
      <c r="I291" s="4">
        <v>0</v>
      </c>
      <c r="J291" s="4">
        <v>1</v>
      </c>
      <c r="K291" s="4">
        <v>1</v>
      </c>
      <c r="L291" s="4">
        <v>1</v>
      </c>
      <c r="M291" s="4">
        <v>1</v>
      </c>
      <c r="N291" s="4">
        <v>700</v>
      </c>
      <c r="O291" s="4">
        <v>0</v>
      </c>
      <c r="P291" s="4">
        <v>12</v>
      </c>
      <c r="Q291" s="4">
        <v>14</v>
      </c>
      <c r="R291" s="4">
        <v>75</v>
      </c>
      <c r="S291" s="4">
        <v>300</v>
      </c>
      <c r="T291" s="4">
        <v>50</v>
      </c>
    </row>
    <row r="292" spans="1:20" s="4" customFormat="1">
      <c r="A292" s="5">
        <v>705</v>
      </c>
      <c r="B292" s="5" t="s">
        <v>76</v>
      </c>
      <c r="C292" s="5" t="s">
        <v>98</v>
      </c>
      <c r="D292" s="4">
        <v>17</v>
      </c>
      <c r="E292" s="4">
        <v>30</v>
      </c>
      <c r="F292" s="4">
        <v>0</v>
      </c>
      <c r="G292" s="4">
        <v>0</v>
      </c>
      <c r="H292" s="4">
        <v>0</v>
      </c>
      <c r="I292" s="4">
        <v>0</v>
      </c>
      <c r="J292" s="4">
        <v>2</v>
      </c>
      <c r="K292" s="4">
        <v>2</v>
      </c>
      <c r="L292" s="4">
        <v>2</v>
      </c>
      <c r="M292" s="4">
        <v>2</v>
      </c>
      <c r="N292" s="4">
        <v>1000</v>
      </c>
      <c r="O292" s="4">
        <v>0</v>
      </c>
      <c r="P292" s="4">
        <v>15</v>
      </c>
      <c r="Q292" s="4">
        <v>16</v>
      </c>
      <c r="R292" s="4">
        <v>75</v>
      </c>
      <c r="S292" s="4">
        <v>300</v>
      </c>
      <c r="T292" s="4">
        <v>50</v>
      </c>
    </row>
    <row r="293" spans="1:20" s="4" customFormat="1">
      <c r="A293" s="5">
        <v>706</v>
      </c>
      <c r="B293" s="5" t="s">
        <v>77</v>
      </c>
      <c r="C293" s="5" t="s">
        <v>99</v>
      </c>
      <c r="D293" s="4">
        <v>20</v>
      </c>
      <c r="E293" s="4">
        <v>40</v>
      </c>
      <c r="F293" s="4">
        <v>0</v>
      </c>
      <c r="G293" s="4">
        <v>0</v>
      </c>
      <c r="H293" s="4">
        <v>0</v>
      </c>
      <c r="I293" s="4">
        <v>0</v>
      </c>
      <c r="J293" s="4">
        <v>0</v>
      </c>
      <c r="K293" s="4">
        <v>0</v>
      </c>
      <c r="L293" s="4">
        <v>5</v>
      </c>
      <c r="M293" s="4">
        <v>5</v>
      </c>
      <c r="N293" s="4">
        <v>1000</v>
      </c>
      <c r="O293" s="4">
        <v>0</v>
      </c>
      <c r="P293" s="4">
        <v>15</v>
      </c>
      <c r="Q293" s="4">
        <v>16</v>
      </c>
      <c r="R293" s="4">
        <v>75</v>
      </c>
      <c r="S293" s="4">
        <v>300</v>
      </c>
      <c r="T293" s="4">
        <v>50</v>
      </c>
    </row>
    <row r="294" spans="1:20" s="4" customFormat="1">
      <c r="A294" s="5">
        <v>707</v>
      </c>
      <c r="B294" s="5" t="s">
        <v>118</v>
      </c>
      <c r="C294" s="5" t="s">
        <v>119</v>
      </c>
      <c r="D294" s="4">
        <v>8</v>
      </c>
      <c r="E294" s="4">
        <v>19</v>
      </c>
      <c r="F294" s="4">
        <v>0</v>
      </c>
      <c r="G294" s="4">
        <v>0</v>
      </c>
      <c r="H294" s="4">
        <v>0</v>
      </c>
      <c r="I294" s="4">
        <v>0</v>
      </c>
      <c r="J294" s="4">
        <v>1</v>
      </c>
      <c r="K294" s="4">
        <v>1</v>
      </c>
      <c r="L294" s="4">
        <v>0</v>
      </c>
      <c r="M294" s="4">
        <v>0</v>
      </c>
      <c r="N294" s="4">
        <v>130</v>
      </c>
      <c r="O294" s="4">
        <v>0</v>
      </c>
      <c r="P294" s="4">
        <v>15</v>
      </c>
      <c r="Q294" s="4">
        <v>16</v>
      </c>
      <c r="R294" s="4">
        <v>75</v>
      </c>
      <c r="S294" s="4">
        <v>300</v>
      </c>
      <c r="T294" s="4">
        <v>50</v>
      </c>
    </row>
    <row r="295" spans="1:20" s="4" customFormat="1">
      <c r="A295" s="5">
        <v>708</v>
      </c>
      <c r="B295" s="5" t="s">
        <v>150</v>
      </c>
      <c r="C295" s="5" t="s">
        <v>120</v>
      </c>
      <c r="D295" s="4">
        <v>2</v>
      </c>
      <c r="E295" s="4">
        <v>3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110</v>
      </c>
      <c r="O295" s="4">
        <v>0</v>
      </c>
      <c r="P295" s="4">
        <v>7</v>
      </c>
      <c r="Q295" s="4">
        <v>10</v>
      </c>
      <c r="R295" s="4">
        <v>75</v>
      </c>
      <c r="S295" s="4">
        <v>300</v>
      </c>
      <c r="T295" s="4">
        <v>50</v>
      </c>
    </row>
    <row r="296" spans="1:20" s="4" customFormat="1">
      <c r="A296" s="5">
        <v>709</v>
      </c>
      <c r="B296" s="5" t="s">
        <v>210</v>
      </c>
      <c r="C296" s="5" t="s">
        <v>211</v>
      </c>
      <c r="D296" s="4">
        <v>26</v>
      </c>
      <c r="E296" s="4">
        <v>41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1300</v>
      </c>
      <c r="O296" s="4">
        <v>0</v>
      </c>
      <c r="P296" s="4">
        <v>15</v>
      </c>
      <c r="Q296" s="4">
        <v>17</v>
      </c>
      <c r="R296" s="4">
        <v>75</v>
      </c>
      <c r="S296" s="4">
        <v>300</v>
      </c>
      <c r="T296" s="4">
        <v>50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98"/>
  <sheetViews>
    <sheetView topLeftCell="A202" workbookViewId="0">
      <selection activeCell="B8" sqref="B8"/>
    </sheetView>
  </sheetViews>
  <sheetFormatPr defaultRowHeight="13.5"/>
  <sheetData>
    <row r="1" spans="2:14">
      <c r="B1">
        <v>10</v>
      </c>
      <c r="C1">
        <f>B1-1</f>
        <v>9</v>
      </c>
    </row>
    <row r="2" spans="2:14">
      <c r="B2">
        <v>18</v>
      </c>
      <c r="C2">
        <f t="shared" ref="C2:C65" si="0">B2-1</f>
        <v>17</v>
      </c>
    </row>
    <row r="3" spans="2:14">
      <c r="B3">
        <v>25</v>
      </c>
      <c r="C3">
        <f t="shared" si="0"/>
        <v>24</v>
      </c>
    </row>
    <row r="4" spans="2:14">
      <c r="B4">
        <v>90</v>
      </c>
      <c r="C4">
        <f t="shared" si="0"/>
        <v>89</v>
      </c>
    </row>
    <row r="5" spans="2:14">
      <c r="B5">
        <v>33</v>
      </c>
      <c r="C5">
        <f t="shared" si="0"/>
        <v>32</v>
      </c>
    </row>
    <row r="6" spans="2:14">
      <c r="B6">
        <v>40</v>
      </c>
      <c r="C6">
        <f t="shared" si="0"/>
        <v>39</v>
      </c>
    </row>
    <row r="7" spans="2:14">
      <c r="B7">
        <v>300</v>
      </c>
      <c r="C7">
        <f t="shared" si="0"/>
        <v>299</v>
      </c>
    </row>
    <row r="8" spans="2:14">
      <c r="B8">
        <v>60</v>
      </c>
      <c r="C8">
        <f t="shared" si="0"/>
        <v>59</v>
      </c>
    </row>
    <row r="9" spans="2:14">
      <c r="B9">
        <v>60</v>
      </c>
      <c r="C9">
        <f t="shared" si="0"/>
        <v>59</v>
      </c>
    </row>
    <row r="10" spans="2:14">
      <c r="B10">
        <v>15</v>
      </c>
      <c r="C10">
        <f t="shared" si="0"/>
        <v>14</v>
      </c>
    </row>
    <row r="11" spans="2:14">
      <c r="B11">
        <v>140</v>
      </c>
      <c r="C11">
        <f t="shared" si="0"/>
        <v>139</v>
      </c>
    </row>
    <row r="12" spans="2:14">
      <c r="B12">
        <v>150</v>
      </c>
      <c r="C12">
        <f t="shared" si="0"/>
        <v>149</v>
      </c>
      <c r="J12">
        <v>30</v>
      </c>
      <c r="K12">
        <v>55</v>
      </c>
      <c r="M12">
        <v>45</v>
      </c>
      <c r="N12">
        <v>75</v>
      </c>
    </row>
    <row r="13" spans="2:14">
      <c r="B13">
        <v>160</v>
      </c>
      <c r="C13">
        <f t="shared" si="0"/>
        <v>159</v>
      </c>
      <c r="J13">
        <v>25</v>
      </c>
      <c r="K13">
        <v>35</v>
      </c>
      <c r="M13">
        <f t="shared" ref="M13:M29" si="1">CEILING((J13*1.2),5)</f>
        <v>30</v>
      </c>
      <c r="N13">
        <f t="shared" ref="N13:N29" si="2">CEILING((K13*1.2),5)</f>
        <v>45</v>
      </c>
    </row>
    <row r="14" spans="2:14">
      <c r="B14">
        <v>170</v>
      </c>
      <c r="C14">
        <f t="shared" si="0"/>
        <v>169</v>
      </c>
      <c r="J14">
        <v>35</v>
      </c>
      <c r="K14">
        <v>55</v>
      </c>
      <c r="M14">
        <f t="shared" si="1"/>
        <v>45</v>
      </c>
      <c r="N14">
        <f t="shared" si="2"/>
        <v>70</v>
      </c>
    </row>
    <row r="15" spans="2:14">
      <c r="B15">
        <v>25</v>
      </c>
      <c r="C15">
        <f t="shared" si="0"/>
        <v>24</v>
      </c>
      <c r="J15">
        <v>30</v>
      </c>
      <c r="K15">
        <v>45</v>
      </c>
      <c r="M15">
        <f t="shared" si="1"/>
        <v>40</v>
      </c>
      <c r="N15">
        <f t="shared" si="2"/>
        <v>55</v>
      </c>
    </row>
    <row r="16" spans="2:14">
      <c r="B16">
        <v>200</v>
      </c>
      <c r="C16">
        <f t="shared" si="0"/>
        <v>199</v>
      </c>
      <c r="J16">
        <v>25</v>
      </c>
      <c r="K16">
        <v>35</v>
      </c>
      <c r="M16">
        <f t="shared" si="1"/>
        <v>30</v>
      </c>
      <c r="N16">
        <f t="shared" si="2"/>
        <v>45</v>
      </c>
    </row>
    <row r="17" spans="2:14">
      <c r="B17">
        <v>260</v>
      </c>
      <c r="C17">
        <f t="shared" si="0"/>
        <v>259</v>
      </c>
      <c r="J17">
        <v>35</v>
      </c>
      <c r="K17">
        <v>50</v>
      </c>
      <c r="M17">
        <f t="shared" si="1"/>
        <v>45</v>
      </c>
      <c r="N17">
        <f t="shared" si="2"/>
        <v>60</v>
      </c>
    </row>
    <row r="18" spans="2:14">
      <c r="B18">
        <v>280</v>
      </c>
      <c r="C18">
        <f t="shared" si="0"/>
        <v>279</v>
      </c>
      <c r="J18">
        <v>25</v>
      </c>
      <c r="K18">
        <v>35</v>
      </c>
      <c r="M18">
        <f t="shared" si="1"/>
        <v>30</v>
      </c>
      <c r="N18">
        <f t="shared" si="2"/>
        <v>45</v>
      </c>
    </row>
    <row r="19" spans="2:14">
      <c r="B19">
        <v>280</v>
      </c>
      <c r="C19">
        <f t="shared" si="0"/>
        <v>279</v>
      </c>
      <c r="J19">
        <v>10</v>
      </c>
      <c r="K19">
        <v>65</v>
      </c>
      <c r="M19">
        <f t="shared" si="1"/>
        <v>15</v>
      </c>
      <c r="N19">
        <f t="shared" si="2"/>
        <v>80</v>
      </c>
    </row>
    <row r="20" spans="2:14">
      <c r="B20">
        <v>290</v>
      </c>
      <c r="C20">
        <f t="shared" si="0"/>
        <v>289</v>
      </c>
      <c r="J20">
        <v>20</v>
      </c>
      <c r="K20">
        <v>30</v>
      </c>
      <c r="M20">
        <f t="shared" si="1"/>
        <v>25</v>
      </c>
      <c r="N20">
        <f t="shared" si="2"/>
        <v>40</v>
      </c>
    </row>
    <row r="21" spans="2:14">
      <c r="B21">
        <v>37</v>
      </c>
      <c r="C21">
        <f t="shared" si="0"/>
        <v>36</v>
      </c>
      <c r="J21">
        <v>40</v>
      </c>
      <c r="K21">
        <v>55</v>
      </c>
      <c r="M21">
        <f t="shared" si="1"/>
        <v>50</v>
      </c>
      <c r="N21">
        <f t="shared" si="2"/>
        <v>70</v>
      </c>
    </row>
    <row r="22" spans="2:14">
      <c r="B22">
        <v>35</v>
      </c>
      <c r="C22">
        <f t="shared" si="0"/>
        <v>34</v>
      </c>
      <c r="J22">
        <v>30</v>
      </c>
      <c r="K22">
        <v>35</v>
      </c>
      <c r="M22">
        <f t="shared" si="1"/>
        <v>40</v>
      </c>
      <c r="N22">
        <f t="shared" si="2"/>
        <v>45</v>
      </c>
    </row>
    <row r="23" spans="2:14">
      <c r="B23">
        <v>32</v>
      </c>
      <c r="C23">
        <f t="shared" si="0"/>
        <v>31</v>
      </c>
      <c r="J23">
        <v>40</v>
      </c>
      <c r="K23">
        <v>60</v>
      </c>
      <c r="M23">
        <f t="shared" si="1"/>
        <v>50</v>
      </c>
      <c r="N23">
        <f t="shared" si="2"/>
        <v>75</v>
      </c>
    </row>
    <row r="24" spans="2:14">
      <c r="B24">
        <v>230</v>
      </c>
      <c r="C24">
        <f t="shared" si="0"/>
        <v>229</v>
      </c>
      <c r="J24">
        <v>10</v>
      </c>
      <c r="K24">
        <v>20</v>
      </c>
      <c r="M24">
        <f t="shared" si="1"/>
        <v>15</v>
      </c>
      <c r="N24">
        <f t="shared" si="2"/>
        <v>25</v>
      </c>
    </row>
    <row r="25" spans="2:14">
      <c r="B25">
        <v>230</v>
      </c>
      <c r="C25">
        <f t="shared" si="0"/>
        <v>229</v>
      </c>
      <c r="J25">
        <v>35</v>
      </c>
      <c r="K25">
        <v>50</v>
      </c>
      <c r="M25">
        <f t="shared" si="1"/>
        <v>45</v>
      </c>
      <c r="N25">
        <f t="shared" si="2"/>
        <v>60</v>
      </c>
    </row>
    <row r="26" spans="2:14">
      <c r="B26">
        <v>250</v>
      </c>
      <c r="C26">
        <f t="shared" si="0"/>
        <v>249</v>
      </c>
      <c r="J26">
        <v>50</v>
      </c>
      <c r="K26">
        <v>70</v>
      </c>
      <c r="M26">
        <f t="shared" si="1"/>
        <v>60</v>
      </c>
      <c r="N26">
        <f t="shared" si="2"/>
        <v>85</v>
      </c>
    </row>
    <row r="27" spans="2:14">
      <c r="B27">
        <v>210</v>
      </c>
      <c r="C27">
        <f t="shared" si="0"/>
        <v>209</v>
      </c>
      <c r="J27">
        <v>35</v>
      </c>
      <c r="K27">
        <v>50</v>
      </c>
      <c r="M27">
        <f t="shared" si="1"/>
        <v>45</v>
      </c>
      <c r="N27">
        <f t="shared" si="2"/>
        <v>60</v>
      </c>
    </row>
    <row r="28" spans="2:14">
      <c r="B28">
        <v>348</v>
      </c>
      <c r="C28">
        <f t="shared" si="0"/>
        <v>347</v>
      </c>
      <c r="J28">
        <v>25</v>
      </c>
      <c r="K28">
        <v>45</v>
      </c>
      <c r="M28">
        <f t="shared" si="1"/>
        <v>30</v>
      </c>
      <c r="N28">
        <f t="shared" si="2"/>
        <v>55</v>
      </c>
    </row>
    <row r="29" spans="2:14">
      <c r="B29">
        <v>320</v>
      </c>
      <c r="C29">
        <f t="shared" si="0"/>
        <v>319</v>
      </c>
      <c r="J29">
        <v>50</v>
      </c>
      <c r="K29">
        <v>100</v>
      </c>
      <c r="M29">
        <f t="shared" si="1"/>
        <v>60</v>
      </c>
      <c r="N29">
        <f t="shared" si="2"/>
        <v>120</v>
      </c>
    </row>
    <row r="30" spans="2:14">
      <c r="B30">
        <v>380</v>
      </c>
      <c r="C30">
        <f t="shared" si="0"/>
        <v>379</v>
      </c>
    </row>
    <row r="31" spans="2:14">
      <c r="B31">
        <v>1600</v>
      </c>
      <c r="C31">
        <f t="shared" si="0"/>
        <v>1599</v>
      </c>
    </row>
    <row r="32" spans="2:14">
      <c r="B32">
        <v>2000</v>
      </c>
      <c r="C32">
        <f t="shared" si="0"/>
        <v>1999</v>
      </c>
    </row>
    <row r="33" spans="2:3">
      <c r="B33">
        <v>2500</v>
      </c>
      <c r="C33">
        <f t="shared" si="0"/>
        <v>2499</v>
      </c>
    </row>
    <row r="34" spans="2:3">
      <c r="B34">
        <v>75</v>
      </c>
      <c r="C34">
        <f t="shared" si="0"/>
        <v>74</v>
      </c>
    </row>
    <row r="35" spans="2:3">
      <c r="B35">
        <v>75</v>
      </c>
      <c r="C35">
        <f t="shared" si="0"/>
        <v>74</v>
      </c>
    </row>
    <row r="36" spans="2:3">
      <c r="B36">
        <v>37</v>
      </c>
      <c r="C36">
        <f t="shared" si="0"/>
        <v>36</v>
      </c>
    </row>
    <row r="37" spans="2:3">
      <c r="B37">
        <v>37</v>
      </c>
      <c r="C37">
        <f t="shared" si="0"/>
        <v>36</v>
      </c>
    </row>
    <row r="38" spans="2:3">
      <c r="B38">
        <v>350</v>
      </c>
      <c r="C38">
        <f t="shared" si="0"/>
        <v>349</v>
      </c>
    </row>
    <row r="39" spans="2:3">
      <c r="B39">
        <v>370</v>
      </c>
      <c r="C39">
        <f t="shared" si="0"/>
        <v>369</v>
      </c>
    </row>
    <row r="40" spans="2:3">
      <c r="B40">
        <v>450</v>
      </c>
      <c r="C40">
        <f t="shared" si="0"/>
        <v>449</v>
      </c>
    </row>
    <row r="41" spans="2:3">
      <c r="B41">
        <v>480</v>
      </c>
      <c r="C41">
        <f t="shared" si="0"/>
        <v>479</v>
      </c>
    </row>
    <row r="42" spans="2:3">
      <c r="B42">
        <v>6</v>
      </c>
      <c r="C42">
        <f t="shared" si="0"/>
        <v>5</v>
      </c>
    </row>
    <row r="43" spans="2:3">
      <c r="B43">
        <v>10</v>
      </c>
      <c r="C43">
        <f t="shared" si="0"/>
        <v>9</v>
      </c>
    </row>
    <row r="44" spans="2:3">
      <c r="B44">
        <v>15</v>
      </c>
      <c r="C44">
        <f t="shared" si="0"/>
        <v>14</v>
      </c>
    </row>
    <row r="45" spans="2:3">
      <c r="B45">
        <v>54</v>
      </c>
      <c r="C45">
        <f t="shared" si="0"/>
        <v>53</v>
      </c>
    </row>
    <row r="46" spans="2:3">
      <c r="B46">
        <v>19</v>
      </c>
      <c r="C46">
        <f t="shared" si="0"/>
        <v>18</v>
      </c>
    </row>
    <row r="47" spans="2:3">
      <c r="B47">
        <v>24</v>
      </c>
      <c r="C47">
        <f t="shared" si="0"/>
        <v>23</v>
      </c>
    </row>
    <row r="48" spans="2:3">
      <c r="B48">
        <v>180</v>
      </c>
      <c r="C48">
        <f t="shared" si="0"/>
        <v>179</v>
      </c>
    </row>
    <row r="49" spans="2:3">
      <c r="B49">
        <v>36</v>
      </c>
      <c r="C49">
        <f t="shared" si="0"/>
        <v>35</v>
      </c>
    </row>
    <row r="50" spans="2:3">
      <c r="B50">
        <v>36</v>
      </c>
      <c r="C50">
        <f t="shared" si="0"/>
        <v>35</v>
      </c>
    </row>
    <row r="51" spans="2:3">
      <c r="B51">
        <v>9</v>
      </c>
      <c r="C51">
        <f t="shared" si="0"/>
        <v>8</v>
      </c>
    </row>
    <row r="52" spans="2:3">
      <c r="B52">
        <v>84</v>
      </c>
      <c r="C52">
        <f t="shared" si="0"/>
        <v>83</v>
      </c>
    </row>
    <row r="53" spans="2:3">
      <c r="B53">
        <v>90</v>
      </c>
      <c r="C53">
        <f t="shared" si="0"/>
        <v>89</v>
      </c>
    </row>
    <row r="54" spans="2:3">
      <c r="B54">
        <v>96</v>
      </c>
      <c r="C54">
        <f t="shared" si="0"/>
        <v>95</v>
      </c>
    </row>
    <row r="55" spans="2:3">
      <c r="B55">
        <v>102</v>
      </c>
      <c r="C55">
        <f t="shared" si="0"/>
        <v>101</v>
      </c>
    </row>
    <row r="56" spans="2:3">
      <c r="B56">
        <v>15</v>
      </c>
      <c r="C56">
        <f t="shared" si="0"/>
        <v>14</v>
      </c>
    </row>
    <row r="57" spans="2:3">
      <c r="B57">
        <v>120</v>
      </c>
      <c r="C57">
        <f t="shared" si="0"/>
        <v>119</v>
      </c>
    </row>
    <row r="58" spans="2:3">
      <c r="B58">
        <v>156</v>
      </c>
      <c r="C58">
        <f t="shared" si="0"/>
        <v>155</v>
      </c>
    </row>
    <row r="59" spans="2:3">
      <c r="B59">
        <v>168</v>
      </c>
      <c r="C59">
        <f t="shared" si="0"/>
        <v>167</v>
      </c>
    </row>
    <row r="60" spans="2:3">
      <c r="B60">
        <v>168</v>
      </c>
      <c r="C60">
        <f t="shared" si="0"/>
        <v>167</v>
      </c>
    </row>
    <row r="61" spans="2:3">
      <c r="B61">
        <v>174</v>
      </c>
      <c r="C61">
        <f t="shared" si="0"/>
        <v>173</v>
      </c>
    </row>
    <row r="62" spans="2:3">
      <c r="B62">
        <v>22</v>
      </c>
      <c r="C62">
        <f t="shared" si="0"/>
        <v>21</v>
      </c>
    </row>
    <row r="63" spans="2:3">
      <c r="B63">
        <v>21</v>
      </c>
      <c r="C63">
        <f t="shared" si="0"/>
        <v>20</v>
      </c>
    </row>
    <row r="64" spans="2:3">
      <c r="B64">
        <v>19</v>
      </c>
      <c r="C64">
        <f t="shared" si="0"/>
        <v>18</v>
      </c>
    </row>
    <row r="65" spans="2:3">
      <c r="B65">
        <v>138</v>
      </c>
      <c r="C65">
        <f t="shared" si="0"/>
        <v>137</v>
      </c>
    </row>
    <row r="66" spans="2:3">
      <c r="B66">
        <v>138</v>
      </c>
      <c r="C66">
        <f t="shared" ref="C66:C129" si="3">B66-1</f>
        <v>137</v>
      </c>
    </row>
    <row r="67" spans="2:3">
      <c r="B67">
        <v>150</v>
      </c>
      <c r="C67">
        <f t="shared" si="3"/>
        <v>149</v>
      </c>
    </row>
    <row r="68" spans="2:3">
      <c r="B68">
        <v>126</v>
      </c>
      <c r="C68">
        <f t="shared" si="3"/>
        <v>125</v>
      </c>
    </row>
    <row r="69" spans="2:3">
      <c r="B69">
        <v>208</v>
      </c>
      <c r="C69">
        <f t="shared" si="3"/>
        <v>207</v>
      </c>
    </row>
    <row r="70" spans="2:3">
      <c r="B70">
        <v>192</v>
      </c>
      <c r="C70">
        <f t="shared" si="3"/>
        <v>191</v>
      </c>
    </row>
    <row r="71" spans="2:3">
      <c r="B71">
        <v>228</v>
      </c>
      <c r="C71">
        <f t="shared" si="3"/>
        <v>227</v>
      </c>
    </row>
    <row r="72" spans="2:3">
      <c r="B72">
        <v>960</v>
      </c>
      <c r="C72">
        <f t="shared" si="3"/>
        <v>959</v>
      </c>
    </row>
    <row r="73" spans="2:3">
      <c r="B73">
        <v>1200</v>
      </c>
      <c r="C73">
        <f t="shared" si="3"/>
        <v>1199</v>
      </c>
    </row>
    <row r="74" spans="2:3">
      <c r="B74">
        <v>1500</v>
      </c>
      <c r="C74">
        <f t="shared" si="3"/>
        <v>1499</v>
      </c>
    </row>
    <row r="75" spans="2:3">
      <c r="B75">
        <v>45</v>
      </c>
      <c r="C75">
        <f t="shared" si="3"/>
        <v>44</v>
      </c>
    </row>
    <row r="76" spans="2:3">
      <c r="B76">
        <v>45</v>
      </c>
      <c r="C76">
        <f t="shared" si="3"/>
        <v>44</v>
      </c>
    </row>
    <row r="77" spans="2:3">
      <c r="B77">
        <v>22</v>
      </c>
      <c r="C77">
        <f t="shared" si="3"/>
        <v>21</v>
      </c>
    </row>
    <row r="78" spans="2:3">
      <c r="B78">
        <v>22</v>
      </c>
      <c r="C78">
        <f t="shared" si="3"/>
        <v>21</v>
      </c>
    </row>
    <row r="79" spans="2:3">
      <c r="B79">
        <v>210</v>
      </c>
      <c r="C79">
        <f t="shared" si="3"/>
        <v>209</v>
      </c>
    </row>
    <row r="80" spans="2:3">
      <c r="B80">
        <v>222</v>
      </c>
      <c r="C80">
        <f t="shared" si="3"/>
        <v>221</v>
      </c>
    </row>
    <row r="81" spans="2:3">
      <c r="B81">
        <v>270</v>
      </c>
      <c r="C81">
        <f t="shared" si="3"/>
        <v>269</v>
      </c>
    </row>
    <row r="82" spans="2:3">
      <c r="B82">
        <v>288</v>
      </c>
      <c r="C82">
        <f t="shared" si="3"/>
        <v>287</v>
      </c>
    </row>
    <row r="83" spans="2:3">
      <c r="B83">
        <v>15</v>
      </c>
      <c r="C83">
        <f t="shared" si="3"/>
        <v>14</v>
      </c>
    </row>
    <row r="84" spans="2:3">
      <c r="B84">
        <v>27</v>
      </c>
      <c r="C84">
        <f t="shared" si="3"/>
        <v>26</v>
      </c>
    </row>
    <row r="85" spans="2:3">
      <c r="B85">
        <v>37</v>
      </c>
      <c r="C85">
        <f t="shared" si="3"/>
        <v>36</v>
      </c>
    </row>
    <row r="86" spans="2:3">
      <c r="B86">
        <v>135</v>
      </c>
      <c r="C86">
        <f t="shared" si="3"/>
        <v>134</v>
      </c>
    </row>
    <row r="87" spans="2:3">
      <c r="B87">
        <v>49</v>
      </c>
      <c r="C87">
        <f t="shared" si="3"/>
        <v>48</v>
      </c>
    </row>
    <row r="88" spans="2:3">
      <c r="B88">
        <v>60</v>
      </c>
      <c r="C88">
        <f t="shared" si="3"/>
        <v>59</v>
      </c>
    </row>
    <row r="89" spans="2:3">
      <c r="B89">
        <v>450</v>
      </c>
      <c r="C89">
        <f t="shared" si="3"/>
        <v>449</v>
      </c>
    </row>
    <row r="90" spans="2:3">
      <c r="B90">
        <v>90</v>
      </c>
      <c r="C90">
        <f t="shared" si="3"/>
        <v>89</v>
      </c>
    </row>
    <row r="91" spans="2:3">
      <c r="B91">
        <v>90</v>
      </c>
      <c r="C91">
        <f t="shared" si="3"/>
        <v>89</v>
      </c>
    </row>
    <row r="92" spans="2:3">
      <c r="B92">
        <v>22</v>
      </c>
      <c r="C92">
        <f t="shared" si="3"/>
        <v>21</v>
      </c>
    </row>
    <row r="93" spans="2:3">
      <c r="B93">
        <v>210</v>
      </c>
      <c r="C93">
        <f t="shared" si="3"/>
        <v>209</v>
      </c>
    </row>
    <row r="94" spans="2:3">
      <c r="B94">
        <v>225</v>
      </c>
      <c r="C94">
        <f t="shared" si="3"/>
        <v>224</v>
      </c>
    </row>
    <row r="95" spans="2:3">
      <c r="B95">
        <v>240</v>
      </c>
      <c r="C95">
        <f t="shared" si="3"/>
        <v>239</v>
      </c>
    </row>
    <row r="96" spans="2:3">
      <c r="B96">
        <v>255</v>
      </c>
      <c r="C96">
        <f t="shared" si="3"/>
        <v>254</v>
      </c>
    </row>
    <row r="97" spans="2:3">
      <c r="B97">
        <v>37</v>
      </c>
      <c r="C97">
        <f t="shared" si="3"/>
        <v>36</v>
      </c>
    </row>
    <row r="98" spans="2:3">
      <c r="B98">
        <v>300</v>
      </c>
      <c r="C98">
        <f t="shared" si="3"/>
        <v>299</v>
      </c>
    </row>
    <row r="99" spans="2:3">
      <c r="B99">
        <v>390</v>
      </c>
      <c r="C99">
        <f t="shared" si="3"/>
        <v>389</v>
      </c>
    </row>
    <row r="100" spans="2:3">
      <c r="B100">
        <v>420</v>
      </c>
      <c r="C100">
        <f t="shared" si="3"/>
        <v>419</v>
      </c>
    </row>
    <row r="101" spans="2:3">
      <c r="B101">
        <v>420</v>
      </c>
      <c r="C101">
        <f t="shared" si="3"/>
        <v>419</v>
      </c>
    </row>
    <row r="102" spans="2:3">
      <c r="B102">
        <v>435</v>
      </c>
      <c r="C102">
        <f t="shared" si="3"/>
        <v>434</v>
      </c>
    </row>
    <row r="103" spans="2:3">
      <c r="B103">
        <v>55</v>
      </c>
      <c r="C103">
        <f t="shared" si="3"/>
        <v>54</v>
      </c>
    </row>
    <row r="104" spans="2:3">
      <c r="B104">
        <v>52</v>
      </c>
      <c r="C104">
        <f t="shared" si="3"/>
        <v>51</v>
      </c>
    </row>
    <row r="105" spans="2:3">
      <c r="B105">
        <v>48</v>
      </c>
      <c r="C105">
        <f t="shared" si="3"/>
        <v>47</v>
      </c>
    </row>
    <row r="106" spans="2:3">
      <c r="B106">
        <v>345</v>
      </c>
      <c r="C106">
        <f t="shared" si="3"/>
        <v>344</v>
      </c>
    </row>
    <row r="107" spans="2:3">
      <c r="B107">
        <v>345</v>
      </c>
      <c r="C107">
        <f t="shared" si="3"/>
        <v>344</v>
      </c>
    </row>
    <row r="108" spans="2:3">
      <c r="B108">
        <v>375</v>
      </c>
      <c r="C108">
        <f t="shared" si="3"/>
        <v>374</v>
      </c>
    </row>
    <row r="109" spans="2:3">
      <c r="B109">
        <v>315</v>
      </c>
      <c r="C109">
        <f t="shared" si="3"/>
        <v>314</v>
      </c>
    </row>
    <row r="110" spans="2:3">
      <c r="B110">
        <v>522</v>
      </c>
      <c r="C110">
        <f t="shared" si="3"/>
        <v>521</v>
      </c>
    </row>
    <row r="111" spans="2:3">
      <c r="B111">
        <v>480</v>
      </c>
      <c r="C111">
        <f t="shared" si="3"/>
        <v>479</v>
      </c>
    </row>
    <row r="112" spans="2:3">
      <c r="B112">
        <v>570</v>
      </c>
      <c r="C112">
        <f t="shared" si="3"/>
        <v>569</v>
      </c>
    </row>
    <row r="113" spans="2:3">
      <c r="B113">
        <v>2400</v>
      </c>
      <c r="C113">
        <f t="shared" si="3"/>
        <v>2399</v>
      </c>
    </row>
    <row r="114" spans="2:3">
      <c r="B114">
        <v>3000</v>
      </c>
      <c r="C114">
        <f t="shared" si="3"/>
        <v>2999</v>
      </c>
    </row>
    <row r="115" spans="2:3">
      <c r="B115">
        <v>3750</v>
      </c>
      <c r="C115">
        <f t="shared" si="3"/>
        <v>3749</v>
      </c>
    </row>
    <row r="116" spans="2:3">
      <c r="B116">
        <v>112</v>
      </c>
      <c r="C116">
        <f t="shared" si="3"/>
        <v>111</v>
      </c>
    </row>
    <row r="117" spans="2:3">
      <c r="B117">
        <v>112</v>
      </c>
      <c r="C117">
        <f t="shared" si="3"/>
        <v>111</v>
      </c>
    </row>
    <row r="118" spans="2:3">
      <c r="B118">
        <v>55</v>
      </c>
      <c r="C118">
        <f t="shared" si="3"/>
        <v>54</v>
      </c>
    </row>
    <row r="119" spans="2:3">
      <c r="B119">
        <v>55</v>
      </c>
      <c r="C119">
        <f t="shared" si="3"/>
        <v>54</v>
      </c>
    </row>
    <row r="120" spans="2:3">
      <c r="B120">
        <v>525</v>
      </c>
      <c r="C120">
        <f t="shared" si="3"/>
        <v>524</v>
      </c>
    </row>
    <row r="121" spans="2:3">
      <c r="B121">
        <v>555</v>
      </c>
      <c r="C121">
        <f t="shared" si="3"/>
        <v>554</v>
      </c>
    </row>
    <row r="122" spans="2:3">
      <c r="B122">
        <v>675</v>
      </c>
      <c r="C122">
        <f t="shared" si="3"/>
        <v>674</v>
      </c>
    </row>
    <row r="123" spans="2:3">
      <c r="B123">
        <v>720</v>
      </c>
      <c r="C123">
        <f t="shared" si="3"/>
        <v>719</v>
      </c>
    </row>
    <row r="124" spans="2:3">
      <c r="B124">
        <v>30</v>
      </c>
      <c r="C124">
        <f t="shared" si="3"/>
        <v>29</v>
      </c>
    </row>
    <row r="125" spans="2:3">
      <c r="B125">
        <v>54</v>
      </c>
      <c r="C125">
        <f t="shared" si="3"/>
        <v>53</v>
      </c>
    </row>
    <row r="126" spans="2:3">
      <c r="B126">
        <v>75</v>
      </c>
      <c r="C126">
        <f t="shared" si="3"/>
        <v>74</v>
      </c>
    </row>
    <row r="127" spans="2:3">
      <c r="B127">
        <v>270</v>
      </c>
      <c r="C127">
        <f t="shared" si="3"/>
        <v>269</v>
      </c>
    </row>
    <row r="128" spans="2:3">
      <c r="B128">
        <v>99</v>
      </c>
      <c r="C128">
        <f t="shared" si="3"/>
        <v>98</v>
      </c>
    </row>
    <row r="129" spans="2:3">
      <c r="B129">
        <v>120</v>
      </c>
      <c r="C129">
        <f t="shared" si="3"/>
        <v>119</v>
      </c>
    </row>
    <row r="130" spans="2:3">
      <c r="B130">
        <v>900</v>
      </c>
      <c r="C130">
        <f t="shared" ref="C130:C172" si="4">B130-1</f>
        <v>899</v>
      </c>
    </row>
    <row r="131" spans="2:3">
      <c r="B131">
        <v>180</v>
      </c>
      <c r="C131">
        <f t="shared" si="4"/>
        <v>179</v>
      </c>
    </row>
    <row r="132" spans="2:3">
      <c r="B132">
        <v>180</v>
      </c>
      <c r="C132">
        <f t="shared" si="4"/>
        <v>179</v>
      </c>
    </row>
    <row r="133" spans="2:3">
      <c r="B133">
        <v>45</v>
      </c>
      <c r="C133">
        <f t="shared" si="4"/>
        <v>44</v>
      </c>
    </row>
    <row r="134" spans="2:3">
      <c r="B134">
        <v>420</v>
      </c>
      <c r="C134">
        <f t="shared" si="4"/>
        <v>419</v>
      </c>
    </row>
    <row r="135" spans="2:3">
      <c r="B135">
        <v>450</v>
      </c>
      <c r="C135">
        <f t="shared" si="4"/>
        <v>449</v>
      </c>
    </row>
    <row r="136" spans="2:3">
      <c r="B136">
        <v>480</v>
      </c>
      <c r="C136">
        <f t="shared" si="4"/>
        <v>479</v>
      </c>
    </row>
    <row r="137" spans="2:3">
      <c r="B137">
        <v>510</v>
      </c>
      <c r="C137">
        <f t="shared" si="4"/>
        <v>509</v>
      </c>
    </row>
    <row r="138" spans="2:3">
      <c r="B138">
        <v>75</v>
      </c>
      <c r="C138">
        <f t="shared" si="4"/>
        <v>74</v>
      </c>
    </row>
    <row r="139" spans="2:3">
      <c r="B139">
        <v>600</v>
      </c>
      <c r="C139">
        <f t="shared" si="4"/>
        <v>599</v>
      </c>
    </row>
    <row r="140" spans="2:3">
      <c r="B140">
        <v>780</v>
      </c>
      <c r="C140">
        <f t="shared" si="4"/>
        <v>779</v>
      </c>
    </row>
    <row r="141" spans="2:3">
      <c r="B141">
        <v>840</v>
      </c>
      <c r="C141">
        <f t="shared" si="4"/>
        <v>839</v>
      </c>
    </row>
    <row r="142" spans="2:3">
      <c r="B142">
        <v>840</v>
      </c>
      <c r="C142">
        <f t="shared" si="4"/>
        <v>839</v>
      </c>
    </row>
    <row r="143" spans="2:3">
      <c r="B143">
        <v>870</v>
      </c>
      <c r="C143">
        <f t="shared" si="4"/>
        <v>869</v>
      </c>
    </row>
    <row r="144" spans="2:3">
      <c r="B144">
        <v>111</v>
      </c>
      <c r="C144">
        <f t="shared" si="4"/>
        <v>110</v>
      </c>
    </row>
    <row r="145" spans="2:3">
      <c r="B145">
        <v>105</v>
      </c>
      <c r="C145">
        <f t="shared" si="4"/>
        <v>104</v>
      </c>
    </row>
    <row r="146" spans="2:3">
      <c r="B146">
        <v>96</v>
      </c>
      <c r="C146">
        <f t="shared" si="4"/>
        <v>95</v>
      </c>
    </row>
    <row r="147" spans="2:3">
      <c r="B147">
        <v>690</v>
      </c>
      <c r="C147">
        <f t="shared" si="4"/>
        <v>689</v>
      </c>
    </row>
    <row r="148" spans="2:3">
      <c r="B148">
        <v>690</v>
      </c>
      <c r="C148">
        <f t="shared" si="4"/>
        <v>689</v>
      </c>
    </row>
    <row r="149" spans="2:3">
      <c r="B149">
        <v>750</v>
      </c>
      <c r="C149">
        <f t="shared" si="4"/>
        <v>749</v>
      </c>
    </row>
    <row r="150" spans="2:3">
      <c r="B150">
        <v>630</v>
      </c>
      <c r="C150">
        <f t="shared" si="4"/>
        <v>629</v>
      </c>
    </row>
    <row r="151" spans="2:3">
      <c r="B151">
        <v>1044</v>
      </c>
      <c r="C151">
        <f t="shared" si="4"/>
        <v>1043</v>
      </c>
    </row>
    <row r="152" spans="2:3">
      <c r="B152">
        <v>960</v>
      </c>
      <c r="C152">
        <f t="shared" si="4"/>
        <v>959</v>
      </c>
    </row>
    <row r="153" spans="2:3">
      <c r="B153">
        <v>1140</v>
      </c>
      <c r="C153">
        <f t="shared" si="4"/>
        <v>1139</v>
      </c>
    </row>
    <row r="154" spans="2:3">
      <c r="B154">
        <v>4800</v>
      </c>
      <c r="C154">
        <f t="shared" si="4"/>
        <v>4799</v>
      </c>
    </row>
    <row r="155" spans="2:3">
      <c r="B155">
        <v>6000</v>
      </c>
      <c r="C155">
        <f t="shared" si="4"/>
        <v>5999</v>
      </c>
    </row>
    <row r="156" spans="2:3">
      <c r="B156">
        <v>7500</v>
      </c>
      <c r="C156">
        <f t="shared" si="4"/>
        <v>7499</v>
      </c>
    </row>
    <row r="157" spans="2:3">
      <c r="B157">
        <v>225</v>
      </c>
      <c r="C157">
        <f t="shared" si="4"/>
        <v>224</v>
      </c>
    </row>
    <row r="158" spans="2:3">
      <c r="B158">
        <v>225</v>
      </c>
      <c r="C158">
        <f t="shared" si="4"/>
        <v>224</v>
      </c>
    </row>
    <row r="159" spans="2:3">
      <c r="B159">
        <v>111</v>
      </c>
      <c r="C159">
        <f t="shared" si="4"/>
        <v>110</v>
      </c>
    </row>
    <row r="160" spans="2:3">
      <c r="B160">
        <v>111</v>
      </c>
      <c r="C160">
        <f t="shared" si="4"/>
        <v>110</v>
      </c>
    </row>
    <row r="161" spans="2:3">
      <c r="B161">
        <v>1050</v>
      </c>
      <c r="C161">
        <f t="shared" si="4"/>
        <v>1049</v>
      </c>
    </row>
    <row r="162" spans="2:3">
      <c r="B162">
        <v>1110</v>
      </c>
      <c r="C162">
        <f t="shared" si="4"/>
        <v>1109</v>
      </c>
    </row>
    <row r="163" spans="2:3">
      <c r="B163">
        <v>1350</v>
      </c>
      <c r="C163">
        <f t="shared" si="4"/>
        <v>1349</v>
      </c>
    </row>
    <row r="164" spans="2:3">
      <c r="B164">
        <v>1440</v>
      </c>
      <c r="C164">
        <f t="shared" si="4"/>
        <v>1439</v>
      </c>
    </row>
    <row r="165" spans="2:3">
      <c r="B165">
        <v>40</v>
      </c>
      <c r="C165">
        <f t="shared" si="4"/>
        <v>39</v>
      </c>
    </row>
    <row r="166" spans="2:3">
      <c r="B166">
        <v>60</v>
      </c>
      <c r="C166">
        <f t="shared" si="4"/>
        <v>59</v>
      </c>
    </row>
    <row r="167" spans="2:3">
      <c r="B167">
        <v>90</v>
      </c>
      <c r="C167">
        <f t="shared" si="4"/>
        <v>89</v>
      </c>
    </row>
    <row r="168" spans="2:3">
      <c r="B168">
        <v>300</v>
      </c>
      <c r="C168">
        <f t="shared" si="4"/>
        <v>299</v>
      </c>
    </row>
    <row r="169" spans="2:3">
      <c r="B169">
        <v>500</v>
      </c>
      <c r="C169">
        <f t="shared" si="4"/>
        <v>499</v>
      </c>
    </row>
    <row r="170" spans="2:3">
      <c r="B170">
        <v>500</v>
      </c>
      <c r="C170">
        <f t="shared" si="4"/>
        <v>499</v>
      </c>
    </row>
    <row r="171" spans="2:3">
      <c r="B171">
        <v>130</v>
      </c>
      <c r="C171">
        <f t="shared" si="4"/>
        <v>129</v>
      </c>
    </row>
    <row r="172" spans="2:3">
      <c r="B172">
        <v>130</v>
      </c>
      <c r="C172">
        <f t="shared" si="4"/>
        <v>129</v>
      </c>
    </row>
    <row r="184" spans="2:2">
      <c r="B184">
        <v>800</v>
      </c>
    </row>
    <row r="186" spans="2:2">
      <c r="B186">
        <v>2500</v>
      </c>
    </row>
    <row r="187" spans="2:2">
      <c r="B187">
        <v>200</v>
      </c>
    </row>
    <row r="188" spans="2:2">
      <c r="B188">
        <v>20000</v>
      </c>
    </row>
    <row r="189" spans="2:2">
      <c r="B189">
        <v>2200</v>
      </c>
    </row>
    <row r="190" spans="2:2">
      <c r="B190">
        <v>1000</v>
      </c>
    </row>
    <row r="191" spans="2:2">
      <c r="B191">
        <v>5000</v>
      </c>
    </row>
    <row r="192" spans="2:2">
      <c r="B192">
        <v>3000</v>
      </c>
    </row>
    <row r="193" spans="2:2">
      <c r="B193">
        <v>200</v>
      </c>
    </row>
    <row r="194" spans="2:2">
      <c r="B194">
        <v>1200</v>
      </c>
    </row>
    <row r="195" spans="2:2">
      <c r="B195">
        <v>1400</v>
      </c>
    </row>
    <row r="196" spans="2:2">
      <c r="B196">
        <v>1600</v>
      </c>
    </row>
    <row r="197" spans="2:2">
      <c r="B197">
        <v>2000</v>
      </c>
    </row>
    <row r="198" spans="2:2">
      <c r="B198">
        <v>2500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npc_pattern</vt:lpstr>
      <vt:lpstr>怪物强度修正</vt:lpstr>
      <vt:lpstr>原始值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张瑞05</dc:creator>
  <cp:lastModifiedBy>余力烨</cp:lastModifiedBy>
  <dcterms:created xsi:type="dcterms:W3CDTF">2014-02-21T09:36:23Z</dcterms:created>
  <dcterms:modified xsi:type="dcterms:W3CDTF">2016-07-12T13:18:55Z</dcterms:modified>
</cp:coreProperties>
</file>