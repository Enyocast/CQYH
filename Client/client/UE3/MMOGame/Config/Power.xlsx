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165" windowWidth="21375" windowHeight="10125"/>
  </bookViews>
  <sheets>
    <sheet name="level" sheetId="1" r:id="rId1"/>
    <sheet name="define" sheetId="2" r:id="rId2"/>
    <sheet name="Sheet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B75" i="1" l="1"/>
  <c r="B7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4" i="1"/>
</calcChain>
</file>

<file path=xl/sharedStrings.xml><?xml version="1.0" encoding="utf-8"?>
<sst xmlns="http://schemas.openxmlformats.org/spreadsheetml/2006/main" count="27" uniqueCount="25">
  <si>
    <t>Level</t>
    <phoneticPr fontId="2" type="noConversion"/>
  </si>
  <si>
    <t>MoneyTypeArenaTotalLimit</t>
  </si>
  <si>
    <t>MoneyTypeArenaWeeklyEarnLimit</t>
  </si>
  <si>
    <t>Level</t>
  </si>
  <si>
    <t>MaxExp</t>
  </si>
  <si>
    <t>Pow</t>
  </si>
  <si>
    <t>MoneyType01DailyUseLimit</t>
  </si>
  <si>
    <t>MoneyTypeBFTotalLimit</t>
  </si>
  <si>
    <t>MoneyTypeBFWeeklyEarnLimit</t>
  </si>
  <si>
    <t>DailyExpLimit</t>
  </si>
  <si>
    <t>字段</t>
    <phoneticPr fontId="2" type="noConversion"/>
  </si>
  <si>
    <t>描述</t>
    <phoneticPr fontId="2" type="noConversion"/>
  </si>
  <si>
    <t>说明</t>
    <phoneticPr fontId="2" type="noConversion"/>
  </si>
  <si>
    <t>等级</t>
    <phoneticPr fontId="2" type="noConversion"/>
  </si>
  <si>
    <t>升级经验</t>
    <phoneticPr fontId="2" type="noConversion"/>
  </si>
  <si>
    <t>战斗力</t>
    <phoneticPr fontId="2" type="noConversion"/>
  </si>
  <si>
    <t>绑金每日使用上限</t>
    <phoneticPr fontId="2" type="noConversion"/>
  </si>
  <si>
    <t>每日野外经验值获得上限</t>
    <phoneticPr fontId="2" type="noConversion"/>
  </si>
  <si>
    <t>战场点数上限</t>
    <phoneticPr fontId="2" type="noConversion"/>
  </si>
  <si>
    <t>战场点数周上限</t>
    <phoneticPr fontId="2" type="noConversion"/>
  </si>
  <si>
    <t>竞技场点数上限</t>
    <phoneticPr fontId="2" type="noConversion"/>
  </si>
  <si>
    <t>竞技场点数周上限</t>
    <phoneticPr fontId="2" type="noConversion"/>
  </si>
  <si>
    <t>Both</t>
    <phoneticPr fontId="2" type="noConversion"/>
  </si>
  <si>
    <t>SpiritPower</t>
    <phoneticPr fontId="2" type="noConversion"/>
  </si>
  <si>
    <t>BasePow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</si>
</sst>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微软雅黑"/>
      <family val="2"/>
      <charset val="134"/>
    </font>
    <font>
      <sz val="11"/>
      <color theme="1"/>
      <name val="宋体"/>
      <family val="2"/>
      <charset val="134"/>
      <scheme val="minor"/>
    </font>
    <font>
      <sz val="9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6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0" borderId="0"/>
    <xf numFmtId="0" fontId="20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  <xf numFmtId="0" fontId="3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2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>
      <alignment vertical="center"/>
    </xf>
    <xf numFmtId="0" fontId="20" fillId="0" borderId="0"/>
    <xf numFmtId="0" fontId="20" fillId="0" borderId="0"/>
    <xf numFmtId="0" fontId="20" fillId="0" borderId="0"/>
    <xf numFmtId="0" fontId="20" fillId="0" borderId="0"/>
  </cellStyleXfs>
  <cellXfs count="5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0" fillId="0" borderId="0" xfId="41" applyAlignment="1">
      <alignment vertical="center"/>
    </xf>
    <xf numFmtId="0" fontId="3" fillId="0" borderId="0" xfId="45">
      <alignment vertical="center"/>
    </xf>
  </cellXfs>
  <cellStyles count="106">
    <cellStyle name="20% - 强调文字颜色 1" xfId="18" builtinId="30" customBuiltin="1"/>
    <cellStyle name="20% - 强调文字颜色 2" xfId="22" builtinId="34" customBuiltin="1"/>
    <cellStyle name="20% - 强调文字颜色 3" xfId="26" builtinId="38" customBuiltin="1"/>
    <cellStyle name="20% - 强调文字颜色 4" xfId="30" builtinId="42" customBuiltin="1"/>
    <cellStyle name="20% - 强调文字颜色 5" xfId="34" builtinId="46" customBuiltin="1"/>
    <cellStyle name="20% - 强调文字颜色 6" xfId="38" builtinId="50" customBuiltin="1"/>
    <cellStyle name="40% - 强调文字颜色 1" xfId="19" builtinId="31" customBuiltin="1"/>
    <cellStyle name="40% - 强调文字颜色 2" xfId="23" builtinId="35" customBuiltin="1"/>
    <cellStyle name="40% - 强调文字颜色 3" xfId="27" builtinId="39" customBuiltin="1"/>
    <cellStyle name="40% - 强调文字颜色 4" xfId="31" builtinId="43" customBuiltin="1"/>
    <cellStyle name="40% - 强调文字颜色 5" xfId="35" builtinId="47" customBuiltin="1"/>
    <cellStyle name="40% - 强调文字颜色 6" xfId="39" builtinId="51" customBuiltin="1"/>
    <cellStyle name="60% - 强调文字颜色 1" xfId="20" builtinId="32" customBuiltin="1"/>
    <cellStyle name="60% - 强调文字颜色 2" xfId="24" builtinId="36" customBuiltin="1"/>
    <cellStyle name="60% - 强调文字颜色 3" xfId="28" builtinId="40" customBuiltin="1"/>
    <cellStyle name="60% - 强调文字颜色 4" xfId="32" builtinId="44" customBuiltin="1"/>
    <cellStyle name="60% - 强调文字颜色 5" xfId="36" builtinId="48" customBuiltin="1"/>
    <cellStyle name="60% - 强调文字颜色 6" xfId="40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74"/>
    <cellStyle name="常规 11" xfId="75"/>
    <cellStyle name="常规 12" xfId="76"/>
    <cellStyle name="常规 13" xfId="77"/>
    <cellStyle name="常规 14" xfId="78"/>
    <cellStyle name="常规 15" xfId="79"/>
    <cellStyle name="常规 16" xfId="80"/>
    <cellStyle name="常规 17" xfId="81"/>
    <cellStyle name="常规 18" xfId="82"/>
    <cellStyle name="常规 19" xfId="83"/>
    <cellStyle name="常规 2" xfId="42"/>
    <cellStyle name="常规 2 2" xfId="49"/>
    <cellStyle name="常规 2 2 2" xfId="46"/>
    <cellStyle name="常规 2 2 2 2" xfId="57"/>
    <cellStyle name="常规 2 2 2 2 2" xfId="54"/>
    <cellStyle name="常规 2 2 2 3" xfId="55"/>
    <cellStyle name="常规 2 2 3" xfId="63"/>
    <cellStyle name="常规 2 3" xfId="47"/>
    <cellStyle name="常规 2 4" xfId="48"/>
    <cellStyle name="常规 2 5" xfId="50"/>
    <cellStyle name="常规 2 5 2" xfId="58"/>
    <cellStyle name="常规 2 5 3" xfId="64"/>
    <cellStyle name="常规 2 6" xfId="51"/>
    <cellStyle name="常规 2 6 2" xfId="59"/>
    <cellStyle name="常规 2 6 3" xfId="65"/>
    <cellStyle name="常规 20" xfId="84"/>
    <cellStyle name="常规 21" xfId="85"/>
    <cellStyle name="常规 22" xfId="90"/>
    <cellStyle name="常规 23" xfId="91"/>
    <cellStyle name="常规 24" xfId="96"/>
    <cellStyle name="常规 25" xfId="101"/>
    <cellStyle name="常规 26" xfId="45"/>
    <cellStyle name="常规 27" xfId="41"/>
    <cellStyle name="常规 3" xfId="52"/>
    <cellStyle name="常规 3 2" xfId="60"/>
    <cellStyle name="常规 3 3" xfId="66"/>
    <cellStyle name="常规 3 4" xfId="69"/>
    <cellStyle name="常规 3 5" xfId="86"/>
    <cellStyle name="常规 3 6" xfId="95"/>
    <cellStyle name="常规 3 7" xfId="100"/>
    <cellStyle name="常规 3 8" xfId="105"/>
    <cellStyle name="常规 4" xfId="53"/>
    <cellStyle name="常规 4 2" xfId="61"/>
    <cellStyle name="常规 4 3" xfId="67"/>
    <cellStyle name="常规 4 4" xfId="70"/>
    <cellStyle name="常规 4 5" xfId="87"/>
    <cellStyle name="常规 4 6" xfId="94"/>
    <cellStyle name="常规 4 7" xfId="99"/>
    <cellStyle name="常规 4 8" xfId="104"/>
    <cellStyle name="常规 5" xfId="43"/>
    <cellStyle name="常规 6" xfId="56"/>
    <cellStyle name="常规 7" xfId="62"/>
    <cellStyle name="常规 7 2" xfId="71"/>
    <cellStyle name="常规 7 3" xfId="88"/>
    <cellStyle name="常规 7 4" xfId="93"/>
    <cellStyle name="常规 7 5" xfId="98"/>
    <cellStyle name="常规 7 6" xfId="103"/>
    <cellStyle name="常规 8" xfId="68"/>
    <cellStyle name="常规 8 2" xfId="72"/>
    <cellStyle name="常规 8 3" xfId="89"/>
    <cellStyle name="常规 8 4" xfId="92"/>
    <cellStyle name="常规 8 5" xfId="97"/>
    <cellStyle name="常规 8 6" xfId="102"/>
    <cellStyle name="常规 9" xfId="73"/>
    <cellStyle name="好" xfId="6" builtinId="26" customBuiltin="1"/>
    <cellStyle name="汇总" xfId="16" builtinId="25" customBuiltin="1"/>
    <cellStyle name="计算" xfId="11" builtinId="22" customBuiltin="1"/>
    <cellStyle name="检查单元格" xfId="13" builtinId="23" customBuiltin="1"/>
    <cellStyle name="解释性文本" xfId="15" builtinId="53" customBuiltin="1"/>
    <cellStyle name="警告文本" xfId="14" builtinId="11" customBuiltin="1"/>
    <cellStyle name="链接单元格" xfId="12" builtinId="24" customBuiltin="1"/>
    <cellStyle name="强调文字颜色 1" xfId="17" builtinId="29" customBuiltin="1"/>
    <cellStyle name="强调文字颜色 2" xfId="21" builtinId="33" customBuiltin="1"/>
    <cellStyle name="强调文字颜色 3" xfId="25" builtinId="37" customBuiltin="1"/>
    <cellStyle name="强调文字颜色 4" xfId="29" builtinId="41" customBuiltin="1"/>
    <cellStyle name="强调文字颜色 5" xfId="33" builtinId="45" customBuiltin="1"/>
    <cellStyle name="强调文字颜色 6" xfId="37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 2" xfId="4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ulei01\Desktop\&#25968;&#25454;&#25991;&#20214;\&#25112;&#26007;&#26550;&#26500;&#24635;&#25968;&#25454;\&#25112;&#26007;&#25968;&#20540;&#26550;&#26500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角色能力总表"/>
      <sheetName val="装备基础能力"/>
      <sheetName val="属性和公式"/>
      <sheetName val="常数和属性价值"/>
      <sheetName val="消费价值计算"/>
      <sheetName val="公式"/>
      <sheetName val="技能模块"/>
      <sheetName val="强化宝石"/>
      <sheetName val="药水回复"/>
      <sheetName val="属性分配"/>
    </sheetNames>
    <sheetDataSet>
      <sheetData sheetId="0">
        <row r="5">
          <cell r="D5">
            <v>0</v>
          </cell>
          <cell r="E5">
            <v>14</v>
          </cell>
          <cell r="F5">
            <v>180</v>
          </cell>
        </row>
        <row r="6">
          <cell r="D6">
            <v>0</v>
          </cell>
          <cell r="E6">
            <v>14.1</v>
          </cell>
          <cell r="F6">
            <v>183</v>
          </cell>
        </row>
        <row r="7">
          <cell r="D7">
            <v>0</v>
          </cell>
          <cell r="E7">
            <v>14.2</v>
          </cell>
          <cell r="F7">
            <v>186</v>
          </cell>
        </row>
        <row r="8">
          <cell r="D8">
            <v>0</v>
          </cell>
          <cell r="E8">
            <v>14.3</v>
          </cell>
          <cell r="F8">
            <v>189</v>
          </cell>
        </row>
        <row r="9">
          <cell r="D9">
            <v>0</v>
          </cell>
          <cell r="E9">
            <v>14.4</v>
          </cell>
          <cell r="F9">
            <v>192</v>
          </cell>
        </row>
        <row r="10">
          <cell r="D10">
            <v>0</v>
          </cell>
          <cell r="E10">
            <v>14.5</v>
          </cell>
          <cell r="F10">
            <v>195</v>
          </cell>
        </row>
        <row r="11">
          <cell r="D11">
            <v>0</v>
          </cell>
          <cell r="E11">
            <v>14.6</v>
          </cell>
          <cell r="F11">
            <v>198</v>
          </cell>
        </row>
        <row r="12">
          <cell r="D12">
            <v>0</v>
          </cell>
          <cell r="E12">
            <v>14.71</v>
          </cell>
          <cell r="F12">
            <v>201</v>
          </cell>
        </row>
        <row r="13">
          <cell r="D13">
            <v>0</v>
          </cell>
          <cell r="E13">
            <v>14.82</v>
          </cell>
          <cell r="F13">
            <v>204</v>
          </cell>
        </row>
        <row r="14">
          <cell r="D14">
            <v>0</v>
          </cell>
          <cell r="E14">
            <v>14.94</v>
          </cell>
          <cell r="F14">
            <v>208</v>
          </cell>
        </row>
        <row r="15">
          <cell r="D15">
            <v>0</v>
          </cell>
          <cell r="E15">
            <v>15.3</v>
          </cell>
          <cell r="F15">
            <v>219</v>
          </cell>
        </row>
        <row r="16">
          <cell r="D16">
            <v>0</v>
          </cell>
          <cell r="E16">
            <v>15.67</v>
          </cell>
          <cell r="F16">
            <v>230</v>
          </cell>
        </row>
        <row r="17">
          <cell r="D17">
            <v>0</v>
          </cell>
          <cell r="E17">
            <v>16.05</v>
          </cell>
          <cell r="F17">
            <v>241</v>
          </cell>
        </row>
        <row r="18">
          <cell r="D18">
            <v>0</v>
          </cell>
          <cell r="E18">
            <v>16.43</v>
          </cell>
          <cell r="F18">
            <v>252</v>
          </cell>
        </row>
        <row r="19">
          <cell r="D19">
            <v>0</v>
          </cell>
          <cell r="E19">
            <v>16.82</v>
          </cell>
          <cell r="F19">
            <v>264</v>
          </cell>
        </row>
        <row r="20">
          <cell r="D20">
            <v>0</v>
          </cell>
          <cell r="E20">
            <v>17.23</v>
          </cell>
          <cell r="F20">
            <v>276</v>
          </cell>
        </row>
        <row r="21">
          <cell r="D21">
            <v>0</v>
          </cell>
          <cell r="E21">
            <v>17.649999999999999</v>
          </cell>
          <cell r="F21">
            <v>289</v>
          </cell>
        </row>
        <row r="22">
          <cell r="D22">
            <v>0</v>
          </cell>
          <cell r="E22">
            <v>18.079999999999998</v>
          </cell>
          <cell r="F22">
            <v>302</v>
          </cell>
        </row>
        <row r="23">
          <cell r="D23">
            <v>0</v>
          </cell>
          <cell r="E23">
            <v>18.509999999999998</v>
          </cell>
          <cell r="F23">
            <v>315</v>
          </cell>
        </row>
        <row r="24">
          <cell r="D24">
            <v>0</v>
          </cell>
          <cell r="E24">
            <v>18.940000000000001</v>
          </cell>
          <cell r="F24">
            <v>328</v>
          </cell>
        </row>
        <row r="25">
          <cell r="D25">
            <v>0</v>
          </cell>
          <cell r="E25">
            <v>19.09</v>
          </cell>
          <cell r="F25">
            <v>332</v>
          </cell>
        </row>
        <row r="26">
          <cell r="D26">
            <v>0</v>
          </cell>
          <cell r="E26">
            <v>19.240000000000002</v>
          </cell>
          <cell r="F26">
            <v>337</v>
          </cell>
        </row>
        <row r="27">
          <cell r="D27">
            <v>0</v>
          </cell>
          <cell r="E27">
            <v>19.38</v>
          </cell>
          <cell r="F27">
            <v>341</v>
          </cell>
        </row>
        <row r="28">
          <cell r="D28">
            <v>0</v>
          </cell>
          <cell r="E28">
            <v>19.52</v>
          </cell>
          <cell r="F28">
            <v>345</v>
          </cell>
        </row>
        <row r="29">
          <cell r="D29">
            <v>0</v>
          </cell>
          <cell r="E29">
            <v>19.66</v>
          </cell>
          <cell r="F29">
            <v>349</v>
          </cell>
        </row>
        <row r="30">
          <cell r="D30">
            <v>0</v>
          </cell>
          <cell r="E30">
            <v>20.090000000000003</v>
          </cell>
          <cell r="F30">
            <v>362</v>
          </cell>
        </row>
        <row r="31">
          <cell r="D31">
            <v>0</v>
          </cell>
          <cell r="E31">
            <v>20.520000000000003</v>
          </cell>
          <cell r="F31">
            <v>375</v>
          </cell>
        </row>
        <row r="32">
          <cell r="D32">
            <v>0</v>
          </cell>
          <cell r="E32">
            <v>20.950000000000003</v>
          </cell>
          <cell r="F32">
            <v>388</v>
          </cell>
        </row>
        <row r="33">
          <cell r="D33">
            <v>0</v>
          </cell>
          <cell r="E33">
            <v>21.380000000000003</v>
          </cell>
          <cell r="F33">
            <v>401</v>
          </cell>
        </row>
        <row r="34">
          <cell r="D34">
            <v>0</v>
          </cell>
          <cell r="E34">
            <v>21.8</v>
          </cell>
          <cell r="F34">
            <v>414</v>
          </cell>
        </row>
        <row r="35">
          <cell r="D35">
            <v>0</v>
          </cell>
          <cell r="E35">
            <v>22</v>
          </cell>
          <cell r="F35">
            <v>420</v>
          </cell>
        </row>
        <row r="36">
          <cell r="D36">
            <v>0</v>
          </cell>
          <cell r="E36">
            <v>22.200000000000003</v>
          </cell>
          <cell r="F36">
            <v>426</v>
          </cell>
        </row>
        <row r="37">
          <cell r="D37">
            <v>0</v>
          </cell>
          <cell r="E37">
            <v>22.4</v>
          </cell>
          <cell r="F37">
            <v>432</v>
          </cell>
        </row>
        <row r="38">
          <cell r="D38">
            <v>0</v>
          </cell>
          <cell r="E38">
            <v>22.6</v>
          </cell>
          <cell r="F38">
            <v>438</v>
          </cell>
        </row>
        <row r="39">
          <cell r="D39">
            <v>0</v>
          </cell>
          <cell r="E39">
            <v>22.8</v>
          </cell>
          <cell r="F39">
            <v>444</v>
          </cell>
        </row>
        <row r="40">
          <cell r="D40">
            <v>0</v>
          </cell>
          <cell r="E40">
            <v>23</v>
          </cell>
          <cell r="F40">
            <v>450</v>
          </cell>
        </row>
        <row r="41">
          <cell r="D41">
            <v>0</v>
          </cell>
          <cell r="E41">
            <v>23.200000000000003</v>
          </cell>
          <cell r="F41">
            <v>456</v>
          </cell>
        </row>
        <row r="42">
          <cell r="D42">
            <v>0</v>
          </cell>
          <cell r="E42">
            <v>23.4</v>
          </cell>
          <cell r="F42">
            <v>462</v>
          </cell>
        </row>
        <row r="43">
          <cell r="D43">
            <v>0</v>
          </cell>
          <cell r="E43">
            <v>23.6</v>
          </cell>
          <cell r="F43">
            <v>468</v>
          </cell>
        </row>
        <row r="44">
          <cell r="D44">
            <v>0</v>
          </cell>
          <cell r="E44">
            <v>23.8</v>
          </cell>
          <cell r="F44">
            <v>474</v>
          </cell>
        </row>
        <row r="45">
          <cell r="D45">
            <v>0</v>
          </cell>
          <cell r="E45">
            <v>24</v>
          </cell>
          <cell r="F45">
            <v>480</v>
          </cell>
        </row>
        <row r="46">
          <cell r="D46">
            <v>0</v>
          </cell>
          <cell r="E46">
            <v>24.200000000000003</v>
          </cell>
          <cell r="F46">
            <v>486</v>
          </cell>
        </row>
        <row r="47">
          <cell r="D47">
            <v>0</v>
          </cell>
          <cell r="E47">
            <v>24.4</v>
          </cell>
          <cell r="F47">
            <v>492</v>
          </cell>
        </row>
        <row r="48">
          <cell r="D48">
            <v>0</v>
          </cell>
          <cell r="E48">
            <v>24.6</v>
          </cell>
          <cell r="F48">
            <v>498</v>
          </cell>
        </row>
        <row r="49">
          <cell r="D49">
            <v>0</v>
          </cell>
          <cell r="E49">
            <v>24.8</v>
          </cell>
          <cell r="F49">
            <v>504</v>
          </cell>
        </row>
        <row r="50">
          <cell r="D50">
            <v>0</v>
          </cell>
          <cell r="E50">
            <v>25</v>
          </cell>
          <cell r="F50">
            <v>510</v>
          </cell>
        </row>
        <row r="51">
          <cell r="D51">
            <v>0</v>
          </cell>
          <cell r="E51">
            <v>25.21</v>
          </cell>
          <cell r="F51">
            <v>516</v>
          </cell>
        </row>
        <row r="52">
          <cell r="D52">
            <v>0</v>
          </cell>
          <cell r="E52">
            <v>25.4</v>
          </cell>
          <cell r="F52">
            <v>522</v>
          </cell>
        </row>
        <row r="53">
          <cell r="D53">
            <v>0</v>
          </cell>
          <cell r="E53">
            <v>25.6</v>
          </cell>
          <cell r="F53">
            <v>528</v>
          </cell>
        </row>
        <row r="54">
          <cell r="D54">
            <v>0</v>
          </cell>
          <cell r="E54">
            <v>25.8</v>
          </cell>
          <cell r="F54">
            <v>534</v>
          </cell>
        </row>
        <row r="55">
          <cell r="D55">
            <v>0</v>
          </cell>
          <cell r="E55">
            <v>26</v>
          </cell>
          <cell r="F55">
            <v>540</v>
          </cell>
        </row>
        <row r="56">
          <cell r="D56">
            <v>0</v>
          </cell>
          <cell r="E56">
            <v>26.200000000000003</v>
          </cell>
          <cell r="F56">
            <v>546</v>
          </cell>
        </row>
        <row r="57">
          <cell r="D57">
            <v>0</v>
          </cell>
          <cell r="E57">
            <v>26.4</v>
          </cell>
          <cell r="F57">
            <v>552</v>
          </cell>
        </row>
        <row r="58">
          <cell r="D58">
            <v>0</v>
          </cell>
          <cell r="E58">
            <v>26.6</v>
          </cell>
          <cell r="F58">
            <v>558</v>
          </cell>
        </row>
        <row r="59">
          <cell r="D59">
            <v>0</v>
          </cell>
          <cell r="E59">
            <v>26.8</v>
          </cell>
          <cell r="F59">
            <v>564</v>
          </cell>
        </row>
        <row r="60">
          <cell r="D60">
            <v>0</v>
          </cell>
          <cell r="E60">
            <v>27</v>
          </cell>
          <cell r="F60">
            <v>570</v>
          </cell>
        </row>
        <row r="61">
          <cell r="D61">
            <v>0</v>
          </cell>
          <cell r="E61">
            <v>27.200000000000003</v>
          </cell>
          <cell r="F61">
            <v>576</v>
          </cell>
        </row>
        <row r="62">
          <cell r="D62">
            <v>0</v>
          </cell>
          <cell r="E62">
            <v>27.4</v>
          </cell>
          <cell r="F62">
            <v>582</v>
          </cell>
        </row>
        <row r="63">
          <cell r="D63">
            <v>0</v>
          </cell>
          <cell r="E63">
            <v>27.6</v>
          </cell>
          <cell r="F63">
            <v>588</v>
          </cell>
        </row>
        <row r="64">
          <cell r="D64">
            <v>0</v>
          </cell>
          <cell r="E64">
            <v>27.8</v>
          </cell>
          <cell r="F64">
            <v>594</v>
          </cell>
        </row>
        <row r="94">
          <cell r="D94">
            <v>0</v>
          </cell>
          <cell r="E94">
            <v>33.81</v>
          </cell>
          <cell r="F94">
            <v>774</v>
          </cell>
        </row>
        <row r="103">
          <cell r="D103">
            <v>0</v>
          </cell>
          <cell r="E103">
            <v>35.61</v>
          </cell>
          <cell r="F103">
            <v>828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5"/>
  <sheetViews>
    <sheetView tabSelected="1" workbookViewId="0">
      <pane xSplit="1" ySplit="3" topLeftCell="B4" activePane="bottomRight" state="frozenSplit"/>
      <selection pane="topRight" activeCell="B1" sqref="B1"/>
      <selection pane="bottomLeft" activeCell="A3" sqref="A3"/>
      <selection pane="bottomRight" activeCell="J13" sqref="J13"/>
    </sheetView>
  </sheetViews>
  <sheetFormatPr defaultRowHeight="16.5" x14ac:dyDescent="0.3"/>
  <cols>
    <col min="1" max="1" width="5.77734375" bestFit="1" customWidth="1"/>
    <col min="2" max="2" width="15.88671875" customWidth="1"/>
    <col min="3" max="3" width="13.77734375" customWidth="1"/>
  </cols>
  <sheetData>
    <row r="1" spans="1:3" x14ac:dyDescent="0.3">
      <c r="A1" t="s">
        <v>0</v>
      </c>
      <c r="B1" s="2" t="s">
        <v>24</v>
      </c>
      <c r="C1" t="s">
        <v>23</v>
      </c>
    </row>
    <row r="2" spans="1:3" s="1" customFormat="1" x14ac:dyDescent="0.3">
      <c r="A2" s="1" t="s">
        <v>22</v>
      </c>
      <c r="B2" s="1" t="s">
        <v>22</v>
      </c>
      <c r="C2" s="1" t="s">
        <v>22</v>
      </c>
    </row>
    <row r="3" spans="1:3" x14ac:dyDescent="0.3">
      <c r="A3">
        <v>0</v>
      </c>
      <c r="B3">
        <v>0</v>
      </c>
      <c r="C3">
        <v>0</v>
      </c>
    </row>
    <row r="4" spans="1:3" x14ac:dyDescent="0.3">
      <c r="A4">
        <v>1</v>
      </c>
      <c r="B4" s="1">
        <f>INT([1]角色能力总表!$D5/0.8 + [1]角色能力总表!$E5*10+ [1]角色能力总表!$F5/3 -160)</f>
        <v>40</v>
      </c>
      <c r="C4" s="1">
        <v>10</v>
      </c>
    </row>
    <row r="5" spans="1:3" x14ac:dyDescent="0.3">
      <c r="A5">
        <v>2</v>
      </c>
      <c r="B5" s="1">
        <f>INT([1]角色能力总表!$D6/0.8 + [1]角色能力总表!$E6*10+ [1]角色能力总表!$F6/3 -160)</f>
        <v>42</v>
      </c>
      <c r="C5" s="1">
        <v>20</v>
      </c>
    </row>
    <row r="6" spans="1:3" x14ac:dyDescent="0.3">
      <c r="A6">
        <v>3</v>
      </c>
      <c r="B6" s="1">
        <f>INT([1]角色能力总表!$D7/0.8 + [1]角色能力总表!$E7*10+ [1]角色能力总表!$F7/3 -160)</f>
        <v>44</v>
      </c>
      <c r="C6" s="1">
        <v>30</v>
      </c>
    </row>
    <row r="7" spans="1:3" x14ac:dyDescent="0.3">
      <c r="A7">
        <v>4</v>
      </c>
      <c r="B7" s="1">
        <f>INT([1]角色能力总表!$D8/0.8 + [1]角色能力总表!$E8*10+ [1]角色能力总表!$F8/3 -160)</f>
        <v>46</v>
      </c>
      <c r="C7" s="1">
        <v>40</v>
      </c>
    </row>
    <row r="8" spans="1:3" x14ac:dyDescent="0.3">
      <c r="A8">
        <v>5</v>
      </c>
      <c r="B8" s="1">
        <f>INT([1]角色能力总表!$D9/0.8 + [1]角色能力总表!$E9*10+ [1]角色能力总表!$F9/3 -160)</f>
        <v>48</v>
      </c>
      <c r="C8" s="1">
        <v>50</v>
      </c>
    </row>
    <row r="9" spans="1:3" x14ac:dyDescent="0.3">
      <c r="A9">
        <v>6</v>
      </c>
      <c r="B9" s="1">
        <f>INT([1]角色能力总表!$D10/0.8 + [1]角色能力总表!$E10*10+ [1]角色能力总表!$F10/3 -160)</f>
        <v>50</v>
      </c>
      <c r="C9" s="1">
        <v>60</v>
      </c>
    </row>
    <row r="10" spans="1:3" x14ac:dyDescent="0.3">
      <c r="A10">
        <v>7</v>
      </c>
      <c r="B10" s="1">
        <f>INT([1]角色能力总表!$D11/0.8 + [1]角色能力总表!$E11*10+ [1]角色能力总表!$F11/3 -160)</f>
        <v>52</v>
      </c>
      <c r="C10" s="1">
        <v>70</v>
      </c>
    </row>
    <row r="11" spans="1:3" x14ac:dyDescent="0.3">
      <c r="A11">
        <v>8</v>
      </c>
      <c r="B11" s="1">
        <f>INT([1]角色能力总表!$D12/0.8 + [1]角色能力总表!$E12*10+ [1]角色能力总表!$F12/3 -160)</f>
        <v>54</v>
      </c>
      <c r="C11" s="1">
        <v>80</v>
      </c>
    </row>
    <row r="12" spans="1:3" x14ac:dyDescent="0.3">
      <c r="A12">
        <v>9</v>
      </c>
      <c r="B12" s="1">
        <f>INT([1]角色能力总表!$D13/0.8 + [1]角色能力总表!$E13*10+ [1]角色能力总表!$F13/3 -160)</f>
        <v>56</v>
      </c>
      <c r="C12" s="1">
        <v>90</v>
      </c>
    </row>
    <row r="13" spans="1:3" x14ac:dyDescent="0.3">
      <c r="A13">
        <v>10</v>
      </c>
      <c r="B13" s="1">
        <f>INT([1]角色能力总表!$D14/0.8 + [1]角色能力总表!$E14*10+ [1]角色能力总表!$F14/3 -160)</f>
        <v>58</v>
      </c>
      <c r="C13" s="1">
        <v>100</v>
      </c>
    </row>
    <row r="14" spans="1:3" x14ac:dyDescent="0.3">
      <c r="A14">
        <v>11</v>
      </c>
      <c r="B14" s="1">
        <f>INT([1]角色能力总表!$D15/0.8 + [1]角色能力总表!$E15*10+ [1]角色能力总表!$F15/3 -160)</f>
        <v>66</v>
      </c>
      <c r="C14" s="1">
        <v>110</v>
      </c>
    </row>
    <row r="15" spans="1:3" x14ac:dyDescent="0.3">
      <c r="A15">
        <v>12</v>
      </c>
      <c r="B15" s="1">
        <f>INT([1]角色能力总表!$D16/0.8 + [1]角色能力总表!$E16*10+ [1]角色能力总表!$F16/3 -160)</f>
        <v>73</v>
      </c>
      <c r="C15" s="1">
        <v>120</v>
      </c>
    </row>
    <row r="16" spans="1:3" x14ac:dyDescent="0.3">
      <c r="A16">
        <v>13</v>
      </c>
      <c r="B16" s="1">
        <f>INT([1]角色能力总表!$D17/0.8 + [1]角色能力总表!$E17*10+ [1]角色能力总表!$F17/3 -160)</f>
        <v>80</v>
      </c>
      <c r="C16" s="1">
        <v>130</v>
      </c>
    </row>
    <row r="17" spans="1:3" x14ac:dyDescent="0.3">
      <c r="A17">
        <v>14</v>
      </c>
      <c r="B17" s="1">
        <f>INT([1]角色能力总表!$D18/0.8 + [1]角色能力总表!$E18*10+ [1]角色能力总表!$F18/3 -160)</f>
        <v>88</v>
      </c>
      <c r="C17" s="1">
        <v>140</v>
      </c>
    </row>
    <row r="18" spans="1:3" x14ac:dyDescent="0.3">
      <c r="A18">
        <v>15</v>
      </c>
      <c r="B18" s="1">
        <f>INT([1]角色能力总表!$D19/0.8 + [1]角色能力总表!$E19*10+ [1]角色能力总表!$F19/3 -160)</f>
        <v>96</v>
      </c>
      <c r="C18" s="1">
        <v>150</v>
      </c>
    </row>
    <row r="19" spans="1:3" x14ac:dyDescent="0.3">
      <c r="A19">
        <v>16</v>
      </c>
      <c r="B19" s="1">
        <f>INT([1]角色能力总表!$D20/0.8 + [1]角色能力总表!$E20*10+ [1]角色能力总表!$F20/3 -160)</f>
        <v>104</v>
      </c>
      <c r="C19" s="1">
        <v>160</v>
      </c>
    </row>
    <row r="20" spans="1:3" x14ac:dyDescent="0.3">
      <c r="A20">
        <v>17</v>
      </c>
      <c r="B20" s="1">
        <f>INT([1]角色能力总表!$D21/0.8 + [1]角色能力总表!$E21*10+ [1]角色能力总表!$F21/3 -160)</f>
        <v>112</v>
      </c>
      <c r="C20" s="1">
        <v>170</v>
      </c>
    </row>
    <row r="21" spans="1:3" x14ac:dyDescent="0.3">
      <c r="A21">
        <v>18</v>
      </c>
      <c r="B21" s="1">
        <f>INT([1]角色能力总表!$D22/0.8 + [1]角色能力总表!$E22*10+ [1]角色能力总表!$F22/3 -160)</f>
        <v>121</v>
      </c>
      <c r="C21" s="1">
        <v>180</v>
      </c>
    </row>
    <row r="22" spans="1:3" x14ac:dyDescent="0.3">
      <c r="A22">
        <v>19</v>
      </c>
      <c r="B22" s="1">
        <f>INT([1]角色能力总表!$D23/0.8 + [1]角色能力总表!$E23*10+ [1]角色能力总表!$F23/3 -160)</f>
        <v>130</v>
      </c>
      <c r="C22" s="1">
        <v>190</v>
      </c>
    </row>
    <row r="23" spans="1:3" x14ac:dyDescent="0.3">
      <c r="A23">
        <v>20</v>
      </c>
      <c r="B23" s="1">
        <f>INT([1]角色能力总表!$D24/0.8 + [1]角色能力总表!$E24*10+ [1]角色能力总表!$F24/3 -160)</f>
        <v>138</v>
      </c>
      <c r="C23" s="1">
        <v>200</v>
      </c>
    </row>
    <row r="24" spans="1:3" x14ac:dyDescent="0.3">
      <c r="A24">
        <v>21</v>
      </c>
      <c r="B24" s="1">
        <f>INT([1]角色能力总表!$D25/0.8 + [1]角色能力总表!$E25*10+ [1]角色能力总表!$F25/3 -160)</f>
        <v>141</v>
      </c>
      <c r="C24" s="1">
        <v>210</v>
      </c>
    </row>
    <row r="25" spans="1:3" x14ac:dyDescent="0.3">
      <c r="A25">
        <v>22</v>
      </c>
      <c r="B25" s="1">
        <f>INT([1]角色能力总表!$D26/0.8 + [1]角色能力总表!$E26*10+ [1]角色能力总表!$F26/3 -160)</f>
        <v>144</v>
      </c>
      <c r="C25" s="1">
        <v>220</v>
      </c>
    </row>
    <row r="26" spans="1:3" x14ac:dyDescent="0.3">
      <c r="A26">
        <v>23</v>
      </c>
      <c r="B26" s="1">
        <f>INT([1]角色能力总表!$D27/0.8 + [1]角色能力总表!$E27*10+ [1]角色能力总表!$F27/3 -160)</f>
        <v>147</v>
      </c>
      <c r="C26" s="1">
        <v>230</v>
      </c>
    </row>
    <row r="27" spans="1:3" x14ac:dyDescent="0.3">
      <c r="A27">
        <v>24</v>
      </c>
      <c r="B27" s="1">
        <f>INT([1]角色能力总表!$D28/0.8 + [1]角色能力总表!$E28*10+ [1]角色能力总表!$F28/3 -160)</f>
        <v>150</v>
      </c>
      <c r="C27" s="1">
        <v>240</v>
      </c>
    </row>
    <row r="28" spans="1:3" x14ac:dyDescent="0.3">
      <c r="A28">
        <v>25</v>
      </c>
      <c r="B28" s="1">
        <f>INT([1]角色能力总表!$D29/0.8 + [1]角色能力总表!$E29*10+ [1]角色能力总表!$F29/3 -160)</f>
        <v>152</v>
      </c>
      <c r="C28" s="1">
        <v>250</v>
      </c>
    </row>
    <row r="29" spans="1:3" x14ac:dyDescent="0.3">
      <c r="A29">
        <v>26</v>
      </c>
      <c r="B29" s="1">
        <f>INT([1]角色能力总表!$D30/0.8 + [1]角色能力总表!$E30*10+ [1]角色能力总表!$F30/3 -160)</f>
        <v>161</v>
      </c>
      <c r="C29" s="1">
        <v>260</v>
      </c>
    </row>
    <row r="30" spans="1:3" x14ac:dyDescent="0.3">
      <c r="A30">
        <v>27</v>
      </c>
      <c r="B30" s="1">
        <f>INT([1]角色能力总表!$D31/0.8 + [1]角色能力总表!$E31*10+ [1]角色能力总表!$F31/3 -160)</f>
        <v>170</v>
      </c>
      <c r="C30" s="1">
        <v>270</v>
      </c>
    </row>
    <row r="31" spans="1:3" x14ac:dyDescent="0.3">
      <c r="A31">
        <v>28</v>
      </c>
      <c r="B31" s="1">
        <f>INT([1]角色能力总表!$D32/0.8 + [1]角色能力总表!$E32*10+ [1]角色能力总表!$F32/3 -160)</f>
        <v>178</v>
      </c>
      <c r="C31" s="1">
        <v>280</v>
      </c>
    </row>
    <row r="32" spans="1:3" x14ac:dyDescent="0.3">
      <c r="A32">
        <v>29</v>
      </c>
      <c r="B32" s="1">
        <f>INT([1]角色能力总表!$D33/0.8 + [1]角色能力总表!$E33*10+ [1]角色能力总表!$F33/3 -160)</f>
        <v>187</v>
      </c>
      <c r="C32" s="1">
        <v>290</v>
      </c>
    </row>
    <row r="33" spans="1:3" x14ac:dyDescent="0.3">
      <c r="A33">
        <v>30</v>
      </c>
      <c r="B33" s="1">
        <f>INT([1]角色能力总表!$D34/0.8 + [1]角色能力总表!$E34*10+ [1]角色能力总表!$F34/3 -160)</f>
        <v>196</v>
      </c>
      <c r="C33" s="1">
        <v>300</v>
      </c>
    </row>
    <row r="34" spans="1:3" x14ac:dyDescent="0.3">
      <c r="A34">
        <v>31</v>
      </c>
      <c r="B34" s="1">
        <f>INT([1]角色能力总表!$D35/0.8 + [1]角色能力总表!$E35*10+ [1]角色能力总表!$F35/3 -160)</f>
        <v>200</v>
      </c>
      <c r="C34" s="1">
        <v>310</v>
      </c>
    </row>
    <row r="35" spans="1:3" x14ac:dyDescent="0.3">
      <c r="A35">
        <v>32</v>
      </c>
      <c r="B35" s="1">
        <f>INT([1]角色能力总表!$D36/0.8 + [1]角色能力总表!$E36*10+ [1]角色能力总表!$F36/3 -160)</f>
        <v>204</v>
      </c>
      <c r="C35" s="1">
        <v>320</v>
      </c>
    </row>
    <row r="36" spans="1:3" x14ac:dyDescent="0.3">
      <c r="A36">
        <v>33</v>
      </c>
      <c r="B36" s="1">
        <f>INT([1]角色能力总表!$D37/0.8 + [1]角色能力总表!$E37*10+ [1]角色能力总表!$F37/3 -160)</f>
        <v>208</v>
      </c>
      <c r="C36" s="1">
        <v>330</v>
      </c>
    </row>
    <row r="37" spans="1:3" x14ac:dyDescent="0.3">
      <c r="A37">
        <v>34</v>
      </c>
      <c r="B37" s="1">
        <f>INT([1]角色能力总表!$D38/0.8 + [1]角色能力总表!$E38*10+ [1]角色能力总表!$F38/3 -160)</f>
        <v>212</v>
      </c>
      <c r="C37" s="1">
        <v>340</v>
      </c>
    </row>
    <row r="38" spans="1:3" x14ac:dyDescent="0.3">
      <c r="A38">
        <v>35</v>
      </c>
      <c r="B38" s="1">
        <f>INT([1]角色能力总表!$D39/0.8 + [1]角色能力总表!$E39*10+ [1]角色能力总表!$F39/3 -160)</f>
        <v>216</v>
      </c>
      <c r="C38" s="1">
        <v>350</v>
      </c>
    </row>
    <row r="39" spans="1:3" x14ac:dyDescent="0.3">
      <c r="A39">
        <v>36</v>
      </c>
      <c r="B39" s="1">
        <f>INT([1]角色能力总表!$D40/0.8 + [1]角色能力总表!$E40*10+ [1]角色能力总表!$F40/3 -160)</f>
        <v>220</v>
      </c>
      <c r="C39" s="1">
        <v>360</v>
      </c>
    </row>
    <row r="40" spans="1:3" x14ac:dyDescent="0.3">
      <c r="A40">
        <v>37</v>
      </c>
      <c r="B40" s="1">
        <f>INT([1]角色能力总表!$D41/0.8 + [1]角色能力总表!$E41*10+ [1]角色能力总表!$F41/3 -160)</f>
        <v>224</v>
      </c>
      <c r="C40" s="1">
        <v>370</v>
      </c>
    </row>
    <row r="41" spans="1:3" x14ac:dyDescent="0.3">
      <c r="A41">
        <v>38</v>
      </c>
      <c r="B41" s="1">
        <f>INT([1]角色能力总表!$D42/0.8 + [1]角色能力总表!$E42*10+ [1]角色能力总表!$F42/3 -160)</f>
        <v>228</v>
      </c>
      <c r="C41" s="1">
        <v>380</v>
      </c>
    </row>
    <row r="42" spans="1:3" x14ac:dyDescent="0.3">
      <c r="A42">
        <v>39</v>
      </c>
      <c r="B42" s="1">
        <f>INT([1]角色能力总表!$D43/0.8 + [1]角色能力总表!$E43*10+ [1]角色能力总表!$F43/3 -160)</f>
        <v>232</v>
      </c>
      <c r="C42" s="1">
        <v>390</v>
      </c>
    </row>
    <row r="43" spans="1:3" x14ac:dyDescent="0.3">
      <c r="A43">
        <v>40</v>
      </c>
      <c r="B43" s="1">
        <f>INT([1]角色能力总表!$D44/0.8 + [1]角色能力总表!$E44*10+ [1]角色能力总表!$F44/3 -160)</f>
        <v>236</v>
      </c>
      <c r="C43" s="1">
        <v>400</v>
      </c>
    </row>
    <row r="44" spans="1:3" s="1" customFormat="1" x14ac:dyDescent="0.3">
      <c r="A44" s="1">
        <v>41</v>
      </c>
      <c r="B44" s="1">
        <f>INT([1]角色能力总表!$D45/0.8 + [1]角色能力总表!$E45*10+ [1]角色能力总表!$F45/3 -160)</f>
        <v>240</v>
      </c>
      <c r="C44" s="1">
        <v>410</v>
      </c>
    </row>
    <row r="45" spans="1:3" s="1" customFormat="1" x14ac:dyDescent="0.3">
      <c r="A45" s="1">
        <v>42</v>
      </c>
      <c r="B45" s="1">
        <f>INT([1]角色能力总表!$D46/0.8 + [1]角色能力总表!$E46*10+ [1]角色能力总表!$F46/3 -160)</f>
        <v>244</v>
      </c>
      <c r="C45" s="1">
        <v>420</v>
      </c>
    </row>
    <row r="46" spans="1:3" s="1" customFormat="1" x14ac:dyDescent="0.3">
      <c r="A46" s="1">
        <v>43</v>
      </c>
      <c r="B46" s="1">
        <f>INT([1]角色能力总表!$D47/0.8 + [1]角色能力总表!$E47*10+ [1]角色能力总表!$F47/3 -160)</f>
        <v>248</v>
      </c>
      <c r="C46" s="1">
        <v>430</v>
      </c>
    </row>
    <row r="47" spans="1:3" s="1" customFormat="1" x14ac:dyDescent="0.3">
      <c r="A47" s="1">
        <v>44</v>
      </c>
      <c r="B47" s="1">
        <f>INT([1]角色能力总表!$D48/0.8 + [1]角色能力总表!$E48*10+ [1]角色能力总表!$F48/3 -160)</f>
        <v>252</v>
      </c>
      <c r="C47" s="1">
        <v>440</v>
      </c>
    </row>
    <row r="48" spans="1:3" s="1" customFormat="1" x14ac:dyDescent="0.3">
      <c r="A48" s="1">
        <v>45</v>
      </c>
      <c r="B48" s="1">
        <f>INT([1]角色能力总表!$D49/0.8 + [1]角色能力总表!$E49*10+ [1]角色能力总表!$F49/3 -160)</f>
        <v>256</v>
      </c>
      <c r="C48" s="1">
        <v>450</v>
      </c>
    </row>
    <row r="49" spans="1:3" s="1" customFormat="1" x14ac:dyDescent="0.3">
      <c r="A49" s="1">
        <v>46</v>
      </c>
      <c r="B49" s="1">
        <f>INT([1]角色能力总表!$D50/0.8 + [1]角色能力总表!$E50*10+ [1]角色能力总表!$F50/3 -160)</f>
        <v>260</v>
      </c>
      <c r="C49" s="1">
        <v>460</v>
      </c>
    </row>
    <row r="50" spans="1:3" s="1" customFormat="1" x14ac:dyDescent="0.3">
      <c r="A50" s="1">
        <v>47</v>
      </c>
      <c r="B50" s="1">
        <f>INT([1]角色能力总表!$D51/0.8 + [1]角色能力总表!$E51*10+ [1]角色能力总表!$F51/3 -160)</f>
        <v>264</v>
      </c>
      <c r="C50" s="1">
        <v>470</v>
      </c>
    </row>
    <row r="51" spans="1:3" s="1" customFormat="1" x14ac:dyDescent="0.3">
      <c r="A51" s="1">
        <v>48</v>
      </c>
      <c r="B51" s="1">
        <f>INT([1]角色能力总表!$D52/0.8 + [1]角色能力总表!$E52*10+ [1]角色能力总表!$F52/3 -160)</f>
        <v>268</v>
      </c>
      <c r="C51" s="1">
        <v>480</v>
      </c>
    </row>
    <row r="52" spans="1:3" s="1" customFormat="1" x14ac:dyDescent="0.3">
      <c r="A52" s="1">
        <v>49</v>
      </c>
      <c r="B52" s="1">
        <f>INT([1]角色能力总表!$D53/0.8 + [1]角色能力总表!$E53*10+ [1]角色能力总表!$F53/3 -160)</f>
        <v>272</v>
      </c>
      <c r="C52" s="1">
        <v>490</v>
      </c>
    </row>
    <row r="53" spans="1:3" s="1" customFormat="1" x14ac:dyDescent="0.3">
      <c r="A53" s="1">
        <v>50</v>
      </c>
      <c r="B53" s="1">
        <f>INT([1]角色能力总表!$D54/0.8 + [1]角色能力总表!$E54*10+ [1]角色能力总表!$F54/3 -160)</f>
        <v>276</v>
      </c>
      <c r="C53" s="1">
        <v>500</v>
      </c>
    </row>
    <row r="54" spans="1:3" s="1" customFormat="1" x14ac:dyDescent="0.3">
      <c r="A54" s="1">
        <v>51</v>
      </c>
      <c r="B54" s="1">
        <f>INT([1]角色能力总表!$D55/0.8 + [1]角色能力总表!$E55*10+ [1]角色能力总表!$F55/3 -160)</f>
        <v>280</v>
      </c>
      <c r="C54" s="1">
        <v>510</v>
      </c>
    </row>
    <row r="55" spans="1:3" s="1" customFormat="1" x14ac:dyDescent="0.3">
      <c r="A55" s="1">
        <v>52</v>
      </c>
      <c r="B55" s="1">
        <f>INT([1]角色能力总表!$D56/0.8 + [1]角色能力总表!$E56*10+ [1]角色能力总表!$F56/3 -160)</f>
        <v>284</v>
      </c>
      <c r="C55" s="1">
        <v>520</v>
      </c>
    </row>
    <row r="56" spans="1:3" s="1" customFormat="1" x14ac:dyDescent="0.3">
      <c r="A56" s="1">
        <v>53</v>
      </c>
      <c r="B56" s="1">
        <f>INT([1]角色能力总表!$D57/0.8 + [1]角色能力总表!$E57*10+ [1]角色能力总表!$F57/3 -160)</f>
        <v>288</v>
      </c>
      <c r="C56" s="1">
        <v>530</v>
      </c>
    </row>
    <row r="57" spans="1:3" s="1" customFormat="1" x14ac:dyDescent="0.3">
      <c r="A57" s="1">
        <v>54</v>
      </c>
      <c r="B57" s="1">
        <f>INT([1]角色能力总表!$D58/0.8 + [1]角色能力总表!$E58*10+ [1]角色能力总表!$F58/3 -160)</f>
        <v>292</v>
      </c>
      <c r="C57" s="1">
        <v>540</v>
      </c>
    </row>
    <row r="58" spans="1:3" s="1" customFormat="1" x14ac:dyDescent="0.3">
      <c r="A58" s="1">
        <v>55</v>
      </c>
      <c r="B58" s="1">
        <f>INT([1]角色能力总表!$D59/0.8 + [1]角色能力总表!$E59*10+ [1]角色能力总表!$F59/3 -160)</f>
        <v>296</v>
      </c>
      <c r="C58" s="1">
        <v>550</v>
      </c>
    </row>
    <row r="59" spans="1:3" s="1" customFormat="1" x14ac:dyDescent="0.3">
      <c r="A59" s="1">
        <v>56</v>
      </c>
      <c r="B59" s="1">
        <f>INT([1]角色能力总表!$D60/0.8 + [1]角色能力总表!$E60*10+ [1]角色能力总表!$F60/3 -160)</f>
        <v>300</v>
      </c>
      <c r="C59" s="1">
        <v>560</v>
      </c>
    </row>
    <row r="60" spans="1:3" s="1" customFormat="1" x14ac:dyDescent="0.3">
      <c r="A60" s="1">
        <v>57</v>
      </c>
      <c r="B60" s="1">
        <f>INT([1]角色能力总表!$D61/0.8 + [1]角色能力总表!$E61*10+ [1]角色能力总表!$F61/3 -160)</f>
        <v>304</v>
      </c>
      <c r="C60" s="1">
        <v>570</v>
      </c>
    </row>
    <row r="61" spans="1:3" s="1" customFormat="1" x14ac:dyDescent="0.3">
      <c r="A61" s="1">
        <v>58</v>
      </c>
      <c r="B61" s="1">
        <f>INT([1]角色能力总表!$D62/0.8 + [1]角色能力总表!$E62*10+ [1]角色能力总表!$F62/3 -160)</f>
        <v>308</v>
      </c>
      <c r="C61" s="1">
        <v>580</v>
      </c>
    </row>
    <row r="62" spans="1:3" s="1" customFormat="1" x14ac:dyDescent="0.3">
      <c r="A62" s="1">
        <v>59</v>
      </c>
      <c r="B62" s="1">
        <f>INT([1]角色能力总表!$D63/0.8 + [1]角色能力总表!$E63*10+ [1]角色能力总表!$F63/3 -160)</f>
        <v>312</v>
      </c>
      <c r="C62" s="1">
        <v>590</v>
      </c>
    </row>
    <row r="63" spans="1:3" s="1" customFormat="1" x14ac:dyDescent="0.3">
      <c r="A63" s="1">
        <v>60</v>
      </c>
      <c r="B63" s="1">
        <f>INT([1]角色能力总表!$D64/0.8 + [1]角色能力总表!$E64*10+ [1]角色能力总表!$F64/3 -160)</f>
        <v>316</v>
      </c>
      <c r="C63" s="1">
        <v>600</v>
      </c>
    </row>
    <row r="64" spans="1:3" s="1" customFormat="1" x14ac:dyDescent="0.3">
      <c r="A64" s="1">
        <v>61</v>
      </c>
      <c r="C64" s="1">
        <v>610</v>
      </c>
    </row>
    <row r="65" spans="1:3" x14ac:dyDescent="0.3">
      <c r="A65">
        <v>62</v>
      </c>
      <c r="C65" s="1">
        <v>620</v>
      </c>
    </row>
    <row r="66" spans="1:3" x14ac:dyDescent="0.3">
      <c r="A66" s="1">
        <v>63</v>
      </c>
      <c r="C66" s="1">
        <v>630</v>
      </c>
    </row>
    <row r="67" spans="1:3" x14ac:dyDescent="0.3">
      <c r="A67" s="1">
        <v>64</v>
      </c>
      <c r="C67" s="1">
        <v>640</v>
      </c>
    </row>
    <row r="68" spans="1:3" x14ac:dyDescent="0.3">
      <c r="A68" s="1">
        <v>65</v>
      </c>
      <c r="C68" s="1">
        <v>650</v>
      </c>
    </row>
    <row r="69" spans="1:3" x14ac:dyDescent="0.3">
      <c r="A69" s="1">
        <v>66</v>
      </c>
      <c r="C69" s="1">
        <v>660</v>
      </c>
    </row>
    <row r="70" spans="1:3" x14ac:dyDescent="0.3">
      <c r="A70" s="1">
        <v>67</v>
      </c>
      <c r="C70" s="1">
        <v>670</v>
      </c>
    </row>
    <row r="71" spans="1:3" x14ac:dyDescent="0.3">
      <c r="A71" s="1">
        <v>68</v>
      </c>
      <c r="C71" s="1">
        <v>680</v>
      </c>
    </row>
    <row r="72" spans="1:3" x14ac:dyDescent="0.3">
      <c r="A72" s="1">
        <v>69</v>
      </c>
      <c r="C72" s="1">
        <v>690</v>
      </c>
    </row>
    <row r="73" spans="1:3" x14ac:dyDescent="0.3">
      <c r="A73" s="1">
        <v>70</v>
      </c>
      <c r="C73" s="1">
        <v>700</v>
      </c>
    </row>
    <row r="74" spans="1:3" x14ac:dyDescent="0.3">
      <c r="A74">
        <v>90</v>
      </c>
      <c r="B74" s="1">
        <f>INT([1]角色能力总表!$D94/0.8 + [1]角色能力总表!$E94*10+ [1]角色能力总表!$F94/3)-160</f>
        <v>436</v>
      </c>
    </row>
    <row r="75" spans="1:3" x14ac:dyDescent="0.3">
      <c r="A75">
        <v>99</v>
      </c>
      <c r="B75" s="1">
        <f>INT([1]角色能力总表!$D103/0.8 + [1]角色能力总表!$E103*10+ [1]角色能力总表!$F103/3)-160</f>
        <v>472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opLeftCell="A10" workbookViewId="0">
      <selection activeCell="A6" sqref="A6"/>
    </sheetView>
  </sheetViews>
  <sheetFormatPr defaultRowHeight="16.5" x14ac:dyDescent="0.3"/>
  <cols>
    <col min="1" max="1" width="28.77734375" bestFit="1" customWidth="1"/>
    <col min="2" max="2" width="20.88671875" bestFit="1" customWidth="1"/>
  </cols>
  <sheetData>
    <row r="1" spans="1:3" s="1" customFormat="1" x14ac:dyDescent="0.3">
      <c r="A1" s="1" t="s">
        <v>10</v>
      </c>
      <c r="B1" s="1" t="s">
        <v>11</v>
      </c>
      <c r="C1" s="1" t="s">
        <v>12</v>
      </c>
    </row>
    <row r="2" spans="1:3" x14ac:dyDescent="0.3">
      <c r="A2" s="4" t="s">
        <v>3</v>
      </c>
      <c r="B2" t="s">
        <v>13</v>
      </c>
    </row>
    <row r="3" spans="1:3" x14ac:dyDescent="0.3">
      <c r="A3" s="3" t="s">
        <v>4</v>
      </c>
      <c r="B3" t="s">
        <v>14</v>
      </c>
    </row>
    <row r="4" spans="1:3" x14ac:dyDescent="0.3">
      <c r="A4" s="3" t="s">
        <v>5</v>
      </c>
      <c r="B4" t="s">
        <v>15</v>
      </c>
    </row>
    <row r="5" spans="1:3" x14ac:dyDescent="0.3">
      <c r="A5" s="3" t="s">
        <v>6</v>
      </c>
      <c r="B5" t="s">
        <v>16</v>
      </c>
    </row>
    <row r="6" spans="1:3" x14ac:dyDescent="0.3">
      <c r="A6" s="3" t="s">
        <v>7</v>
      </c>
      <c r="B6" t="s">
        <v>18</v>
      </c>
    </row>
    <row r="7" spans="1:3" x14ac:dyDescent="0.3">
      <c r="A7" s="3" t="s">
        <v>8</v>
      </c>
      <c r="B7" s="1" t="s">
        <v>19</v>
      </c>
    </row>
    <row r="8" spans="1:3" x14ac:dyDescent="0.3">
      <c r="A8" s="3" t="s">
        <v>1</v>
      </c>
      <c r="B8" s="1" t="s">
        <v>20</v>
      </c>
    </row>
    <row r="9" spans="1:3" x14ac:dyDescent="0.3">
      <c r="A9" s="3" t="s">
        <v>2</v>
      </c>
      <c r="B9" s="1" t="s">
        <v>21</v>
      </c>
    </row>
    <row r="10" spans="1:3" x14ac:dyDescent="0.3">
      <c r="A10" s="3" t="s">
        <v>9</v>
      </c>
      <c r="B10" t="s">
        <v>17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level</vt:lpstr>
      <vt:lpstr>define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李星佳</dc:creator>
  <cp:lastModifiedBy>李洹熠.lily</cp:lastModifiedBy>
  <dcterms:created xsi:type="dcterms:W3CDTF">2012-05-02T06:38:08Z</dcterms:created>
  <dcterms:modified xsi:type="dcterms:W3CDTF">2014-11-26T12:01:29Z</dcterms:modified>
</cp:coreProperties>
</file>