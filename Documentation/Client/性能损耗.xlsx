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75" windowWidth="10755" windowHeight="9630"/>
  </bookViews>
  <sheets>
    <sheet name="角色" sheetId="1" r:id="rId1"/>
    <sheet name="贴图测试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51" i="1"/>
  <c r="G45"/>
  <c r="E45"/>
  <c r="D45"/>
  <c r="G44"/>
  <c r="E44"/>
  <c r="D44"/>
  <c r="G43"/>
  <c r="E43"/>
  <c r="D43"/>
  <c r="G42"/>
  <c r="E42"/>
  <c r="I43" s="1"/>
  <c r="D42"/>
  <c r="G41"/>
  <c r="D41"/>
  <c r="G40"/>
  <c r="E40"/>
  <c r="D40"/>
  <c r="G39"/>
  <c r="E39"/>
  <c r="D39"/>
  <c r="G38"/>
  <c r="E38"/>
  <c r="I42" s="1"/>
  <c r="D38"/>
  <c r="I30"/>
  <c r="E41"/>
  <c r="K40"/>
  <c r="G37"/>
  <c r="E37"/>
  <c r="D37"/>
  <c r="G36"/>
  <c r="E36"/>
  <c r="D36"/>
  <c r="G35"/>
  <c r="E35"/>
  <c r="D35"/>
  <c r="G34"/>
  <c r="E34"/>
  <c r="D34"/>
  <c r="G33"/>
  <c r="E33"/>
  <c r="D33"/>
  <c r="G32"/>
  <c r="E32"/>
  <c r="D32"/>
  <c r="G31"/>
  <c r="D31"/>
  <c r="E31"/>
  <c r="G30"/>
  <c r="E30"/>
  <c r="I29" s="1"/>
  <c r="D30"/>
  <c r="K27"/>
  <c r="I33" s="1"/>
  <c r="D29"/>
  <c r="D28"/>
  <c r="D27"/>
  <c r="D26"/>
  <c r="D25"/>
  <c r="D23"/>
  <c r="D22"/>
  <c r="D24"/>
  <c r="N3" i="2"/>
  <c r="L3"/>
  <c r="C3" i="1"/>
  <c r="E3" s="1"/>
  <c r="I3" s="1"/>
  <c r="G3" i="2"/>
  <c r="K5"/>
  <c r="G9" i="1"/>
  <c r="G10" s="1"/>
  <c r="G12" s="1"/>
  <c r="G14" s="1"/>
  <c r="G17" s="1"/>
  <c r="G8"/>
  <c r="D3" i="2"/>
  <c r="D5" s="1"/>
  <c r="N4"/>
  <c r="D4"/>
  <c r="J4"/>
  <c r="J5" s="1"/>
  <c r="J3"/>
  <c r="F3"/>
  <c r="M3" s="1"/>
  <c r="H3"/>
  <c r="F3" i="1"/>
  <c r="I46" l="1"/>
  <c r="I31"/>
  <c r="I44"/>
  <c r="I45"/>
  <c r="I32"/>
  <c r="D3"/>
  <c r="H3" s="1"/>
  <c r="J3" s="1"/>
  <c r="M3" s="1"/>
</calcChain>
</file>

<file path=xl/sharedStrings.xml><?xml version="1.0" encoding="utf-8"?>
<sst xmlns="http://schemas.openxmlformats.org/spreadsheetml/2006/main" count="126" uniqueCount="91">
  <si>
    <t>原来</t>
    <phoneticPr fontId="7" type="noConversion"/>
  </si>
  <si>
    <t>增加</t>
    <phoneticPr fontId="7" type="noConversion"/>
  </si>
  <si>
    <t>原来面数</t>
    <phoneticPr fontId="7" type="noConversion"/>
  </si>
  <si>
    <t>新需面数</t>
    <phoneticPr fontId="7" type="noConversion"/>
  </si>
  <si>
    <t>增加面数</t>
    <phoneticPr fontId="7" type="noConversion"/>
  </si>
  <si>
    <t>单位角色增加大小</t>
    <phoneticPr fontId="7" type="noConversion"/>
  </si>
  <si>
    <t>Vertex Count</t>
    <phoneticPr fontId="7" type="noConversion"/>
  </si>
  <si>
    <t>Index Count</t>
    <phoneticPr fontId="7" type="noConversion"/>
  </si>
  <si>
    <t>VertexSize（Byte）</t>
    <phoneticPr fontId="7" type="noConversion"/>
  </si>
  <si>
    <t>IndexSize（Byte）</t>
    <phoneticPr fontId="7" type="noConversion"/>
  </si>
  <si>
    <t>Vertex Memory（Byte）</t>
    <phoneticPr fontId="7" type="noConversion"/>
  </si>
  <si>
    <t>Index Memory（Byte）</t>
    <phoneticPr fontId="7" type="noConversion"/>
  </si>
  <si>
    <t>每职业装备套数</t>
    <phoneticPr fontId="7" type="noConversion"/>
  </si>
  <si>
    <t>肩膀</t>
    <phoneticPr fontId="7" type="noConversion"/>
  </si>
  <si>
    <t>头盔</t>
    <phoneticPr fontId="7" type="noConversion"/>
  </si>
  <si>
    <t>武器</t>
    <phoneticPr fontId="7" type="noConversion"/>
  </si>
  <si>
    <t>盾牌</t>
    <phoneticPr fontId="7" type="noConversion"/>
  </si>
  <si>
    <t>披风</t>
    <phoneticPr fontId="7" type="noConversion"/>
  </si>
  <si>
    <t>模  型</t>
    <phoneticPr fontId="7" type="noConversion"/>
  </si>
  <si>
    <t>增加总量(M)</t>
    <phoneticPr fontId="7" type="noConversion"/>
  </si>
  <si>
    <t>现在</t>
    <phoneticPr fontId="7" type="noConversion"/>
  </si>
  <si>
    <t>格式</t>
    <phoneticPr fontId="7" type="noConversion"/>
  </si>
  <si>
    <t>TGA</t>
    <phoneticPr fontId="7" type="noConversion"/>
  </si>
  <si>
    <t>尺寸</t>
    <phoneticPr fontId="7" type="noConversion"/>
  </si>
  <si>
    <t>压缩</t>
    <phoneticPr fontId="7" type="noConversion"/>
  </si>
  <si>
    <t>512X256</t>
    <phoneticPr fontId="7" type="noConversion"/>
  </si>
  <si>
    <t>1024X1024</t>
    <phoneticPr fontId="7" type="noConversion"/>
  </si>
  <si>
    <t>压缩比</t>
    <phoneticPr fontId="7" type="noConversion"/>
  </si>
  <si>
    <t>增加数量</t>
    <phoneticPr fontId="7" type="noConversion"/>
  </si>
  <si>
    <t>Memroy</t>
    <phoneticPr fontId="7" type="noConversion"/>
  </si>
  <si>
    <t>Pixel/Byte</t>
    <phoneticPr fontId="7" type="noConversion"/>
  </si>
  <si>
    <t>装备数量</t>
    <phoneticPr fontId="7" type="noConversion"/>
  </si>
  <si>
    <t>角色数量</t>
    <phoneticPr fontId="7" type="noConversion"/>
  </si>
  <si>
    <t>压缩比</t>
    <phoneticPr fontId="7" type="noConversion"/>
  </si>
  <si>
    <t>RLE</t>
    <phoneticPr fontId="7" type="noConversion"/>
  </si>
  <si>
    <t>文件大小</t>
    <phoneticPr fontId="7" type="noConversion"/>
  </si>
  <si>
    <t>文件增加大小</t>
    <phoneticPr fontId="7" type="noConversion"/>
  </si>
  <si>
    <t>导入贴图LODGroup</t>
    <phoneticPr fontId="7" type="noConversion"/>
  </si>
  <si>
    <t>Character</t>
    <phoneticPr fontId="7" type="noConversion"/>
  </si>
  <si>
    <t>导入包大小差</t>
    <phoneticPr fontId="7" type="noConversion"/>
  </si>
  <si>
    <t>总文件大小</t>
    <phoneticPr fontId="7" type="noConversion"/>
  </si>
  <si>
    <t>导入后格式</t>
    <phoneticPr fontId="7" type="noConversion"/>
  </si>
  <si>
    <t>DXT5</t>
    <phoneticPr fontId="7" type="noConversion"/>
  </si>
  <si>
    <t>导入大小比例（倍）</t>
    <phoneticPr fontId="7" type="noConversion"/>
  </si>
  <si>
    <t>导入后内存占用</t>
    <phoneticPr fontId="7" type="noConversion"/>
  </si>
  <si>
    <t>原始大小比例（倍）</t>
    <phoneticPr fontId="7" type="noConversion"/>
  </si>
  <si>
    <t>衣服</t>
    <phoneticPr fontId="7" type="noConversion"/>
  </si>
  <si>
    <t>裤子</t>
    <phoneticPr fontId="7" type="noConversion"/>
  </si>
  <si>
    <t>护手</t>
    <phoneticPr fontId="7" type="noConversion"/>
  </si>
  <si>
    <t>鞋子</t>
    <phoneticPr fontId="7" type="noConversion"/>
  </si>
  <si>
    <t>脸</t>
    <phoneticPr fontId="7" type="noConversion"/>
  </si>
  <si>
    <t>裙子</t>
    <phoneticPr fontId="7" type="noConversion"/>
  </si>
  <si>
    <t>头发</t>
    <phoneticPr fontId="7" type="noConversion"/>
  </si>
  <si>
    <t>贴  图</t>
    <phoneticPr fontId="7" type="noConversion"/>
  </si>
  <si>
    <t>Raw Size</t>
    <phoneticPr fontId="7" type="noConversion"/>
  </si>
  <si>
    <t>地图</t>
    <phoneticPr fontId="7" type="noConversion"/>
  </si>
  <si>
    <t>高画质</t>
    <phoneticPr fontId="7" type="noConversion"/>
  </si>
  <si>
    <t>FPS</t>
    <phoneticPr fontId="7" type="noConversion"/>
  </si>
  <si>
    <t>DrawCall</t>
    <phoneticPr fontId="7" type="noConversion"/>
  </si>
  <si>
    <t>开关参数</t>
    <phoneticPr fontId="7" type="noConversion"/>
  </si>
  <si>
    <t>Faces</t>
    <phoneticPr fontId="7" type="noConversion"/>
  </si>
  <si>
    <t>渲  染</t>
    <phoneticPr fontId="7" type="noConversion"/>
  </si>
  <si>
    <t>TextureMemory</t>
    <phoneticPr fontId="7" type="noConversion"/>
  </si>
  <si>
    <t>空地图</t>
    <phoneticPr fontId="7" type="noConversion"/>
  </si>
  <si>
    <t>Lit</t>
    <phoneticPr fontId="7" type="noConversion"/>
  </si>
  <si>
    <t>LightingOnly</t>
    <phoneticPr fontId="7" type="noConversion"/>
  </si>
  <si>
    <t>Unlit</t>
    <phoneticPr fontId="7" type="noConversion"/>
  </si>
  <si>
    <t>PostProcess</t>
    <phoneticPr fontId="7" type="noConversion"/>
  </si>
  <si>
    <t>低画质</t>
    <phoneticPr fontId="7" type="noConversion"/>
  </si>
  <si>
    <t>低画质</t>
    <phoneticPr fontId="7" type="noConversion"/>
  </si>
  <si>
    <t>静态模型地图
（无材质光照）</t>
    <phoneticPr fontId="7" type="noConversion"/>
  </si>
  <si>
    <t>骨架模型地图
(带主方向光、材质、动画）</t>
    <phoneticPr fontId="7" type="noConversion"/>
  </si>
  <si>
    <t>低画质面数大概2倍</t>
    <phoneticPr fontId="7" type="noConversion"/>
  </si>
  <si>
    <t>高画质面数大概2倍</t>
    <phoneticPr fontId="7" type="noConversion"/>
  </si>
  <si>
    <t>无Postprocess面数大概1倍</t>
    <phoneticPr fontId="7" type="noConversion"/>
  </si>
  <si>
    <t>骨架模型</t>
    <phoneticPr fontId="7" type="noConversion"/>
  </si>
  <si>
    <t>静态模型</t>
    <phoneticPr fontId="7" type="noConversion"/>
  </si>
  <si>
    <t>高画质DrawCall大概2倍</t>
    <phoneticPr fontId="7" type="noConversion"/>
  </si>
  <si>
    <t>静态模型数量</t>
    <phoneticPr fontId="7" type="noConversion"/>
  </si>
  <si>
    <t>单模型面数</t>
    <phoneticPr fontId="7" type="noConversion"/>
  </si>
  <si>
    <t>净模型总面数</t>
    <phoneticPr fontId="7" type="noConversion"/>
  </si>
  <si>
    <t>骨架模型数量</t>
    <phoneticPr fontId="7" type="noConversion"/>
  </si>
  <si>
    <t>高画质DrawCall大概5倍</t>
    <phoneticPr fontId="7" type="noConversion"/>
  </si>
  <si>
    <t>高画质面数大概4倍</t>
    <phoneticPr fontId="7" type="noConversion"/>
  </si>
  <si>
    <t>静态模型测试</t>
    <phoneticPr fontId="7" type="noConversion"/>
  </si>
  <si>
    <t>骨架模型测试</t>
    <phoneticPr fontId="7" type="noConversion"/>
  </si>
  <si>
    <t>低画质DrawCall大概2倍</t>
    <phoneticPr fontId="7" type="noConversion"/>
  </si>
  <si>
    <t>不带后期处理</t>
    <phoneticPr fontId="7" type="noConversion"/>
  </si>
  <si>
    <t>性能损耗倍率初步结论(1280x720)</t>
    <phoneticPr fontId="7" type="noConversion"/>
  </si>
  <si>
    <t>模型种类</t>
    <phoneticPr fontId="7" type="noConversion"/>
  </si>
  <si>
    <t>高画质</t>
    <phoneticPr fontId="7" type="noConversion"/>
  </si>
</sst>
</file>

<file path=xl/styles.xml><?xml version="1.0" encoding="utf-8"?>
<styleSheet xmlns="http://schemas.openxmlformats.org/spreadsheetml/2006/main">
  <numFmts count="3">
    <numFmt numFmtId="176" formatCode="0.00_);[Red]\(0.00\)"/>
    <numFmt numFmtId="177" formatCode="#,##0.00_ "/>
    <numFmt numFmtId="183" formatCode="0.0_ "/>
  </numFmts>
  <fonts count="18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4"/>
      <color rgb="FF9C0006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0"/>
      <name val="宋体"/>
      <family val="2"/>
      <charset val="134"/>
      <scheme val="minor"/>
    </font>
    <font>
      <sz val="9"/>
      <color theme="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9"/>
      <color rgb="FF9C0006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2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indexed="64"/>
      </right>
      <top/>
      <bottom style="thin">
        <color rgb="FFB2B2B2"/>
      </bottom>
      <diagonal/>
    </border>
  </borders>
  <cellStyleXfs count="1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" fillId="6" borderId="2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0" fillId="0" borderId="0" xfId="0" applyNumberFormat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0" borderId="4" xfId="0" applyNumberForma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0" xfId="0" applyBorder="1">
      <alignment vertical="center"/>
    </xf>
    <xf numFmtId="0" fontId="2" fillId="2" borderId="10" xfId="1" applyBorder="1">
      <alignment vertical="center"/>
    </xf>
    <xf numFmtId="0" fontId="9" fillId="2" borderId="14" xfId="1" applyFont="1" applyBorder="1">
      <alignment vertical="center"/>
    </xf>
    <xf numFmtId="0" fontId="9" fillId="2" borderId="0" xfId="1" applyFont="1" applyBorder="1">
      <alignment vertical="center"/>
    </xf>
    <xf numFmtId="0" fontId="0" fillId="0" borderId="1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>
      <alignment vertical="center"/>
    </xf>
    <xf numFmtId="176" fontId="5" fillId="5" borderId="1" xfId="4" applyNumberFormat="1">
      <alignment vertical="center"/>
    </xf>
    <xf numFmtId="176" fontId="5" fillId="5" borderId="17" xfId="4" applyNumberFormat="1" applyBorder="1">
      <alignment vertical="center"/>
    </xf>
    <xf numFmtId="177" fontId="5" fillId="5" borderId="17" xfId="4" applyNumberFormat="1" applyBorder="1">
      <alignment vertical="center"/>
    </xf>
    <xf numFmtId="176" fontId="0" fillId="0" borderId="0" xfId="0" applyNumberFormat="1" applyBorder="1">
      <alignment vertical="center"/>
    </xf>
    <xf numFmtId="176" fontId="0" fillId="0" borderId="0" xfId="0" applyNumberFormat="1" applyBorder="1" applyAlignment="1">
      <alignment horizontal="center" vertical="center"/>
    </xf>
    <xf numFmtId="176" fontId="3" fillId="3" borderId="0" xfId="2" applyNumberFormat="1" applyBorder="1" applyAlignment="1">
      <alignment vertical="center"/>
    </xf>
    <xf numFmtId="3" fontId="0" fillId="0" borderId="15" xfId="0" applyNumberFormat="1" applyBorder="1" applyAlignment="1">
      <alignment horizontal="center" vertical="center"/>
    </xf>
    <xf numFmtId="176" fontId="0" fillId="0" borderId="7" xfId="0" applyNumberFormat="1" applyBorder="1">
      <alignment vertical="center"/>
    </xf>
    <xf numFmtId="176" fontId="0" fillId="0" borderId="7" xfId="0" applyNumberFormat="1" applyBorder="1" applyAlignment="1">
      <alignment horizontal="center" vertical="center"/>
    </xf>
    <xf numFmtId="176" fontId="0" fillId="6" borderId="18" xfId="5" applyNumberFormat="1" applyFont="1" applyBorder="1">
      <alignment vertical="center"/>
    </xf>
    <xf numFmtId="176" fontId="3" fillId="3" borderId="7" xfId="2" applyNumberFormat="1" applyBorder="1" applyAlignment="1">
      <alignment vertical="center"/>
    </xf>
    <xf numFmtId="3" fontId="0" fillId="0" borderId="8" xfId="0" applyNumberFormat="1" applyBorder="1" applyAlignment="1">
      <alignment horizontal="center" vertical="center"/>
    </xf>
    <xf numFmtId="176" fontId="0" fillId="6" borderId="16" xfId="5" applyNumberFormat="1" applyFont="1" applyBorder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7" borderId="0" xfId="6" applyFont="1" applyBorder="1">
      <alignment vertical="center"/>
    </xf>
    <xf numFmtId="0" fontId="4" fillId="4" borderId="6" xfId="3" applyBorder="1">
      <alignment vertical="center"/>
    </xf>
    <xf numFmtId="0" fontId="4" fillId="4" borderId="7" xfId="3" applyBorder="1">
      <alignment vertical="center"/>
    </xf>
    <xf numFmtId="0" fontId="6" fillId="7" borderId="14" xfId="6" applyBorder="1">
      <alignment vertical="center"/>
    </xf>
    <xf numFmtId="0" fontId="10" fillId="7" borderId="15" xfId="6" applyFont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3" borderId="3" xfId="2" applyFont="1" applyBorder="1" applyAlignment="1">
      <alignment horizontal="center" vertical="center"/>
    </xf>
    <xf numFmtId="0" fontId="11" fillId="3" borderId="4" xfId="2" applyFont="1" applyBorder="1" applyAlignment="1">
      <alignment horizontal="center" vertical="center"/>
    </xf>
    <xf numFmtId="0" fontId="11" fillId="3" borderId="5" xfId="2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2" borderId="14" xfId="1" applyFont="1" applyBorder="1" applyAlignment="1">
      <alignment horizontal="center" vertical="center"/>
    </xf>
    <xf numFmtId="0" fontId="9" fillId="2" borderId="0" xfId="1" applyFont="1" applyBorder="1" applyAlignment="1">
      <alignment horizontal="center" vertical="center"/>
    </xf>
    <xf numFmtId="0" fontId="9" fillId="2" borderId="15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76" fontId="6" fillId="8" borderId="20" xfId="7" applyNumberFormat="1" applyBorder="1" applyAlignment="1">
      <alignment horizontal="center" vertical="center"/>
    </xf>
    <xf numFmtId="176" fontId="6" fillId="8" borderId="19" xfId="7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3" fontId="0" fillId="6" borderId="16" xfId="5" applyNumberFormat="1" applyFont="1" applyBorder="1" applyAlignment="1">
      <alignment horizontal="center" vertical="center"/>
    </xf>
    <xf numFmtId="0" fontId="0" fillId="6" borderId="18" xfId="5" applyFont="1" applyBorder="1" applyAlignment="1">
      <alignment horizontal="center" vertical="center"/>
    </xf>
    <xf numFmtId="3" fontId="2" fillId="2" borderId="0" xfId="1" applyNumberFormat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3" fontId="0" fillId="6" borderId="18" xfId="5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13" fillId="0" borderId="4" xfId="0" applyFont="1" applyBorder="1">
      <alignment vertical="center"/>
    </xf>
    <xf numFmtId="0" fontId="13" fillId="0" borderId="5" xfId="0" applyFont="1" applyBorder="1">
      <alignment vertical="center"/>
    </xf>
    <xf numFmtId="0" fontId="8" fillId="0" borderId="12" xfId="0" applyFont="1" applyBorder="1" applyAlignment="1">
      <alignment horizontal="center" vertical="center"/>
    </xf>
    <xf numFmtId="0" fontId="13" fillId="0" borderId="13" xfId="0" applyFont="1" applyBorder="1">
      <alignment vertical="center"/>
    </xf>
    <xf numFmtId="0" fontId="13" fillId="0" borderId="22" xfId="0" applyFont="1" applyBorder="1">
      <alignment vertical="center"/>
    </xf>
    <xf numFmtId="0" fontId="8" fillId="0" borderId="14" xfId="0" applyFont="1" applyBorder="1" applyAlignment="1">
      <alignment horizontal="center" vertical="center"/>
    </xf>
    <xf numFmtId="0" fontId="13" fillId="0" borderId="0" xfId="0" applyFont="1" applyBorder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4" fillId="7" borderId="21" xfId="6" applyFont="1" applyBorder="1" applyAlignment="1">
      <alignment horizontal="center" vertical="center"/>
    </xf>
    <xf numFmtId="0" fontId="13" fillId="0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0" fillId="0" borderId="22" xfId="0" applyBorder="1">
      <alignment vertical="center"/>
    </xf>
    <xf numFmtId="0" fontId="0" fillId="0" borderId="15" xfId="0" applyBorder="1">
      <alignment vertical="center"/>
    </xf>
    <xf numFmtId="0" fontId="8" fillId="0" borderId="6" xfId="0" applyFont="1" applyFill="1" applyBorder="1">
      <alignment vertical="center"/>
    </xf>
    <xf numFmtId="0" fontId="13" fillId="0" borderId="15" xfId="0" applyFont="1" applyBorder="1">
      <alignment vertical="center"/>
    </xf>
    <xf numFmtId="0" fontId="13" fillId="0" borderId="14" xfId="0" applyFont="1" applyBorder="1">
      <alignment vertical="center"/>
    </xf>
    <xf numFmtId="0" fontId="13" fillId="0" borderId="6" xfId="0" applyFont="1" applyBorder="1">
      <alignment vertical="center"/>
    </xf>
    <xf numFmtId="0" fontId="8" fillId="0" borderId="12" xfId="0" applyFont="1" applyBorder="1" applyAlignment="1">
      <alignment horizontal="center" vertical="center" wrapText="1"/>
    </xf>
    <xf numFmtId="0" fontId="12" fillId="9" borderId="13" xfId="8" applyFont="1" applyBorder="1">
      <alignment vertical="center"/>
    </xf>
    <xf numFmtId="0" fontId="12" fillId="9" borderId="22" xfId="8" applyFont="1" applyBorder="1">
      <alignment vertical="center"/>
    </xf>
    <xf numFmtId="0" fontId="12" fillId="9" borderId="4" xfId="8" applyFont="1" applyBorder="1">
      <alignment vertical="center"/>
    </xf>
    <xf numFmtId="0" fontId="12" fillId="9" borderId="5" xfId="8" applyFont="1" applyBorder="1">
      <alignment vertical="center"/>
    </xf>
    <xf numFmtId="0" fontId="13" fillId="10" borderId="9" xfId="9" applyFont="1" applyBorder="1" applyAlignment="1">
      <alignment horizontal="center" vertical="center"/>
    </xf>
    <xf numFmtId="0" fontId="13" fillId="10" borderId="14" xfId="9" applyFont="1" applyBorder="1" applyAlignment="1">
      <alignment horizontal="center" vertical="center"/>
    </xf>
    <xf numFmtId="0" fontId="13" fillId="10" borderId="10" xfId="9" applyFont="1" applyBorder="1" applyAlignment="1">
      <alignment horizontal="center" vertical="center"/>
    </xf>
    <xf numFmtId="0" fontId="13" fillId="10" borderId="14" xfId="9" applyFont="1" applyBorder="1">
      <alignment vertical="center"/>
    </xf>
    <xf numFmtId="0" fontId="13" fillId="10" borderId="0" xfId="9" applyFont="1" applyBorder="1">
      <alignment vertical="center"/>
    </xf>
    <xf numFmtId="0" fontId="13" fillId="10" borderId="15" xfId="9" applyFont="1" applyBorder="1">
      <alignment vertical="center"/>
    </xf>
    <xf numFmtId="0" fontId="13" fillId="10" borderId="6" xfId="9" applyFont="1" applyBorder="1">
      <alignment vertical="center"/>
    </xf>
    <xf numFmtId="0" fontId="13" fillId="10" borderId="7" xfId="9" applyFont="1" applyBorder="1">
      <alignment vertical="center"/>
    </xf>
    <xf numFmtId="0" fontId="13" fillId="10" borderId="8" xfId="9" applyFont="1" applyBorder="1">
      <alignment vertical="center"/>
    </xf>
    <xf numFmtId="0" fontId="13" fillId="10" borderId="11" xfId="9" applyFont="1" applyBorder="1" applyAlignment="1">
      <alignment horizontal="center" vertical="center"/>
    </xf>
    <xf numFmtId="0" fontId="13" fillId="10" borderId="4" xfId="9" applyFont="1" applyBorder="1">
      <alignment vertical="center"/>
    </xf>
    <xf numFmtId="0" fontId="13" fillId="10" borderId="5" xfId="9" applyFont="1" applyBorder="1">
      <alignment vertical="center"/>
    </xf>
    <xf numFmtId="0" fontId="13" fillId="10" borderId="6" xfId="9" applyFont="1" applyBorder="1" applyAlignment="1">
      <alignment horizontal="center" vertical="center"/>
    </xf>
    <xf numFmtId="0" fontId="8" fillId="10" borderId="12" xfId="9" applyFont="1" applyBorder="1" applyAlignment="1">
      <alignment horizontal="center" vertical="center" wrapText="1"/>
    </xf>
    <xf numFmtId="0" fontId="16" fillId="8" borderId="3" xfId="7" applyFont="1" applyBorder="1" applyAlignment="1">
      <alignment horizontal="center" vertical="center"/>
    </xf>
    <xf numFmtId="0" fontId="16" fillId="8" borderId="4" xfId="7" applyFont="1" applyBorder="1" applyAlignment="1">
      <alignment horizontal="center" vertical="center"/>
    </xf>
    <xf numFmtId="0" fontId="16" fillId="8" borderId="5" xfId="7" applyFont="1" applyBorder="1" applyAlignment="1">
      <alignment horizontal="center" vertical="center"/>
    </xf>
    <xf numFmtId="0" fontId="17" fillId="3" borderId="4" xfId="2" applyFont="1" applyBorder="1">
      <alignment vertical="center"/>
    </xf>
    <xf numFmtId="0" fontId="13" fillId="0" borderId="7" xfId="0" applyFont="1" applyBorder="1">
      <alignment vertical="center"/>
    </xf>
    <xf numFmtId="0" fontId="13" fillId="0" borderId="8" xfId="0" applyFont="1" applyBorder="1">
      <alignment vertical="center"/>
    </xf>
    <xf numFmtId="0" fontId="13" fillId="6" borderId="23" xfId="5" applyFont="1" applyBorder="1">
      <alignment vertical="center"/>
    </xf>
    <xf numFmtId="0" fontId="13" fillId="6" borderId="24" xfId="5" applyFont="1" applyBorder="1">
      <alignment vertical="center"/>
    </xf>
    <xf numFmtId="0" fontId="13" fillId="6" borderId="25" xfId="5" applyFont="1" applyBorder="1">
      <alignment vertical="center"/>
    </xf>
    <xf numFmtId="0" fontId="1" fillId="9" borderId="12" xfId="8" applyBorder="1">
      <alignment vertical="center"/>
    </xf>
    <xf numFmtId="0" fontId="13" fillId="6" borderId="26" xfId="5" applyFont="1" applyBorder="1">
      <alignment vertical="center"/>
    </xf>
    <xf numFmtId="0" fontId="13" fillId="6" borderId="16" xfId="5" applyFont="1" applyBorder="1">
      <alignment vertical="center"/>
    </xf>
    <xf numFmtId="0" fontId="13" fillId="6" borderId="27" xfId="5" applyFont="1" applyBorder="1">
      <alignment vertical="center"/>
    </xf>
    <xf numFmtId="0" fontId="13" fillId="0" borderId="3" xfId="0" applyFont="1" applyBorder="1">
      <alignment vertical="center"/>
    </xf>
    <xf numFmtId="0" fontId="15" fillId="7" borderId="3" xfId="6" applyFont="1" applyBorder="1" applyAlignment="1">
      <alignment horizontal="center" vertical="center"/>
    </xf>
    <xf numFmtId="0" fontId="15" fillId="7" borderId="5" xfId="6" applyFont="1" applyBorder="1" applyAlignment="1">
      <alignment horizontal="center" vertical="center"/>
    </xf>
    <xf numFmtId="0" fontId="15" fillId="7" borderId="21" xfId="6" applyFont="1" applyBorder="1">
      <alignment vertical="center"/>
    </xf>
    <xf numFmtId="0" fontId="14" fillId="8" borderId="24" xfId="7" applyFont="1" applyBorder="1">
      <alignment vertical="center"/>
    </xf>
    <xf numFmtId="0" fontId="1" fillId="9" borderId="21" xfId="8" applyBorder="1">
      <alignment vertical="center"/>
    </xf>
    <xf numFmtId="0" fontId="12" fillId="9" borderId="21" xfId="8" applyFont="1" applyBorder="1">
      <alignment vertical="center"/>
    </xf>
    <xf numFmtId="183" fontId="13" fillId="6" borderId="24" xfId="5" applyNumberFormat="1" applyFont="1" applyBorder="1">
      <alignment vertical="center"/>
    </xf>
    <xf numFmtId="183" fontId="13" fillId="0" borderId="0" xfId="0" applyNumberFormat="1" applyFont="1" applyBorder="1">
      <alignment vertical="center"/>
    </xf>
    <xf numFmtId="183" fontId="13" fillId="0" borderId="7" xfId="0" applyNumberFormat="1" applyFont="1" applyBorder="1">
      <alignment vertical="center"/>
    </xf>
    <xf numFmtId="183" fontId="8" fillId="0" borderId="0" xfId="0" applyNumberFormat="1" applyFont="1">
      <alignment vertical="center"/>
    </xf>
    <xf numFmtId="183" fontId="13" fillId="0" borderId="13" xfId="0" applyNumberFormat="1" applyFont="1" applyBorder="1">
      <alignment vertical="center"/>
    </xf>
    <xf numFmtId="183" fontId="8" fillId="0" borderId="4" xfId="0" applyNumberFormat="1" applyFont="1" applyBorder="1">
      <alignment vertical="center"/>
    </xf>
    <xf numFmtId="183" fontId="13" fillId="6" borderId="16" xfId="5" applyNumberFormat="1" applyFont="1" applyBorder="1">
      <alignment vertical="center"/>
    </xf>
    <xf numFmtId="183" fontId="13" fillId="10" borderId="0" xfId="9" applyNumberFormat="1" applyFont="1" applyBorder="1">
      <alignment vertical="center"/>
    </xf>
    <xf numFmtId="183" fontId="13" fillId="10" borderId="7" xfId="9" applyNumberFormat="1" applyFont="1" applyBorder="1">
      <alignment vertical="center"/>
    </xf>
    <xf numFmtId="183" fontId="17" fillId="3" borderId="4" xfId="2" applyNumberFormat="1" applyFont="1" applyBorder="1">
      <alignment vertical="center"/>
    </xf>
  </cellXfs>
  <cellStyles count="10">
    <cellStyle name="20% - 强调文字颜色 1" xfId="8" builtinId="30"/>
    <cellStyle name="20% - 强调文字颜色 3" xfId="9" builtinId="38"/>
    <cellStyle name="差" xfId="2" builtinId="27"/>
    <cellStyle name="常规" xfId="0" builtinId="0"/>
    <cellStyle name="好" xfId="1" builtinId="26"/>
    <cellStyle name="计算" xfId="4" builtinId="22"/>
    <cellStyle name="强调文字颜色 1" xfId="6" builtinId="29"/>
    <cellStyle name="强调文字颜色 2" xfId="7" builtinId="33"/>
    <cellStyle name="适中" xfId="3" builtinId="28"/>
    <cellStyle name="注释" xfId="5" builtin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>
      <selection activeCell="I48" sqref="I48"/>
    </sheetView>
  </sheetViews>
  <sheetFormatPr defaultRowHeight="13.5"/>
  <cols>
    <col min="1" max="1" width="11.625" bestFit="1" customWidth="1"/>
    <col min="2" max="2" width="10.5" bestFit="1" customWidth="1"/>
    <col min="3" max="3" width="12.75" bestFit="1" customWidth="1"/>
    <col min="4" max="4" width="9.75" bestFit="1" customWidth="1"/>
    <col min="5" max="5" width="7.5" bestFit="1" customWidth="1"/>
    <col min="6" max="6" width="11.375" bestFit="1" customWidth="1"/>
    <col min="7" max="7" width="9.5" bestFit="1" customWidth="1"/>
    <col min="8" max="8" width="15" bestFit="1" customWidth="1"/>
    <col min="9" max="9" width="13" bestFit="1" customWidth="1"/>
    <col min="10" max="10" width="12.75" bestFit="1" customWidth="1"/>
    <col min="11" max="11" width="13" bestFit="1" customWidth="1"/>
  </cols>
  <sheetData>
    <row r="1" spans="1:14" ht="21" customHeight="1">
      <c r="A1" s="47" t="s">
        <v>18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</row>
    <row r="2" spans="1:14" s="1" customFormat="1" ht="32.25" customHeight="1">
      <c r="A2" s="2" t="s">
        <v>2</v>
      </c>
      <c r="B2" s="3" t="s">
        <v>3</v>
      </c>
      <c r="C2" s="3" t="s">
        <v>4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3" t="s">
        <v>5</v>
      </c>
      <c r="K2" s="3" t="s">
        <v>12</v>
      </c>
      <c r="L2" s="3" t="s">
        <v>32</v>
      </c>
      <c r="M2" s="5" t="s">
        <v>19</v>
      </c>
    </row>
    <row r="3" spans="1:14">
      <c r="A3" s="6">
        <v>1000</v>
      </c>
      <c r="B3" s="7">
        <v>4000</v>
      </c>
      <c r="C3" s="7">
        <f>B3-A3</f>
        <v>3000</v>
      </c>
      <c r="D3" s="7">
        <f>C3*0.5</f>
        <v>1500</v>
      </c>
      <c r="E3" s="7">
        <f>C3*3</f>
        <v>9000</v>
      </c>
      <c r="F3" s="7">
        <f>4*3</f>
        <v>12</v>
      </c>
      <c r="G3" s="7">
        <v>4</v>
      </c>
      <c r="H3" s="7">
        <f>D3*F3</f>
        <v>18000</v>
      </c>
      <c r="I3" s="7">
        <f>E3*G3</f>
        <v>36000</v>
      </c>
      <c r="J3" s="7">
        <f>(H3+I3)/1024/1024</f>
        <v>5.14984130859375E-2</v>
      </c>
      <c r="K3" s="7">
        <v>50</v>
      </c>
      <c r="L3" s="7">
        <v>8</v>
      </c>
      <c r="M3" s="8">
        <f>J3*K3*L3</f>
        <v>20.599365234375</v>
      </c>
    </row>
    <row r="6" spans="1:14" ht="20.25" customHeight="1">
      <c r="A6" s="47" t="s">
        <v>53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9"/>
    </row>
    <row r="7" spans="1:14">
      <c r="B7" s="40" t="s">
        <v>14</v>
      </c>
      <c r="C7" s="41" t="s">
        <v>13</v>
      </c>
      <c r="D7" s="41" t="s">
        <v>15</v>
      </c>
      <c r="E7" s="41" t="s">
        <v>16</v>
      </c>
      <c r="F7" s="41" t="s">
        <v>17</v>
      </c>
      <c r="G7" s="42" t="s">
        <v>46</v>
      </c>
      <c r="H7" s="39" t="s">
        <v>47</v>
      </c>
      <c r="I7" s="39" t="s">
        <v>48</v>
      </c>
      <c r="J7" s="39" t="s">
        <v>49</v>
      </c>
      <c r="K7" s="39" t="s">
        <v>50</v>
      </c>
      <c r="L7" s="39" t="s">
        <v>51</v>
      </c>
      <c r="M7" s="43" t="s">
        <v>52</v>
      </c>
    </row>
    <row r="8" spans="1:14">
      <c r="A8" s="9" t="s">
        <v>0</v>
      </c>
      <c r="B8" s="12"/>
      <c r="C8" s="13"/>
      <c r="D8" s="13"/>
      <c r="E8" s="13"/>
      <c r="F8" s="13"/>
      <c r="G8" s="50">
        <f>512*256</f>
        <v>131072</v>
      </c>
      <c r="H8" s="51"/>
      <c r="I8" s="51"/>
      <c r="J8" s="51"/>
      <c r="K8" s="51"/>
      <c r="L8" s="51"/>
      <c r="M8" s="52"/>
      <c r="N8" t="s">
        <v>25</v>
      </c>
    </row>
    <row r="9" spans="1:14">
      <c r="A9" s="10" t="s">
        <v>20</v>
      </c>
      <c r="B9" s="14"/>
      <c r="C9" s="15"/>
      <c r="D9" s="15"/>
      <c r="E9" s="15"/>
      <c r="F9" s="15"/>
      <c r="G9" s="50">
        <f>1024*1024</f>
        <v>1048576</v>
      </c>
      <c r="H9" s="51"/>
      <c r="I9" s="51"/>
      <c r="J9" s="51"/>
      <c r="K9" s="51"/>
      <c r="L9" s="51"/>
      <c r="M9" s="52"/>
      <c r="N9" t="s">
        <v>26</v>
      </c>
    </row>
    <row r="10" spans="1:14">
      <c r="A10" s="10" t="s">
        <v>1</v>
      </c>
      <c r="B10" s="14"/>
      <c r="C10" s="15"/>
      <c r="D10" s="15"/>
      <c r="E10" s="15"/>
      <c r="F10" s="15"/>
      <c r="G10" s="50">
        <f>G9-G8</f>
        <v>917504</v>
      </c>
      <c r="H10" s="51"/>
      <c r="I10" s="51"/>
      <c r="J10" s="51"/>
      <c r="K10" s="51"/>
      <c r="L10" s="51"/>
      <c r="M10" s="52"/>
    </row>
    <row r="11" spans="1:14">
      <c r="A11" s="16" t="s">
        <v>33</v>
      </c>
      <c r="B11" s="17"/>
      <c r="C11" s="18"/>
      <c r="D11" s="18"/>
      <c r="E11" s="18"/>
      <c r="F11" s="18"/>
      <c r="G11" s="53">
        <v>0.33</v>
      </c>
      <c r="H11" s="54"/>
      <c r="I11" s="54"/>
      <c r="J11" s="54"/>
      <c r="K11" s="54"/>
      <c r="L11" s="54"/>
      <c r="M11" s="55"/>
    </row>
    <row r="12" spans="1:14">
      <c r="A12" s="10" t="s">
        <v>28</v>
      </c>
      <c r="B12" s="14"/>
      <c r="C12" s="15"/>
      <c r="D12" s="15"/>
      <c r="E12" s="15"/>
      <c r="F12" s="15"/>
      <c r="G12" s="50">
        <f>G10*G11</f>
        <v>302776.32000000001</v>
      </c>
      <c r="H12" s="51"/>
      <c r="I12" s="51"/>
      <c r="J12" s="51"/>
      <c r="K12" s="51"/>
      <c r="L12" s="51"/>
      <c r="M12" s="52"/>
    </row>
    <row r="13" spans="1:14">
      <c r="A13" s="10" t="s">
        <v>30</v>
      </c>
      <c r="B13" s="14"/>
      <c r="C13" s="15"/>
      <c r="D13" s="15"/>
      <c r="E13" s="15"/>
      <c r="F13" s="15"/>
      <c r="G13" s="50">
        <v>4</v>
      </c>
      <c r="H13" s="51"/>
      <c r="I13" s="51"/>
      <c r="J13" s="51"/>
      <c r="K13" s="51"/>
      <c r="L13" s="51"/>
      <c r="M13" s="52"/>
    </row>
    <row r="14" spans="1:14">
      <c r="A14" s="10" t="s">
        <v>29</v>
      </c>
      <c r="B14" s="14"/>
      <c r="C14" s="15"/>
      <c r="D14" s="15"/>
      <c r="E14" s="15"/>
      <c r="F14" s="15"/>
      <c r="G14" s="50">
        <f>G12*G13</f>
        <v>1211105.28</v>
      </c>
      <c r="H14" s="51"/>
      <c r="I14" s="51"/>
      <c r="J14" s="51"/>
      <c r="K14" s="51"/>
      <c r="L14" s="51"/>
      <c r="M14" s="52"/>
    </row>
    <row r="15" spans="1:14">
      <c r="A15" s="10" t="s">
        <v>32</v>
      </c>
      <c r="B15" s="19"/>
      <c r="C15" s="20"/>
      <c r="D15" s="20"/>
      <c r="E15" s="20"/>
      <c r="F15" s="20"/>
      <c r="G15" s="50">
        <v>8</v>
      </c>
      <c r="H15" s="51"/>
      <c r="I15" s="51"/>
      <c r="J15" s="51"/>
      <c r="K15" s="51"/>
      <c r="L15" s="51"/>
      <c r="M15" s="52"/>
    </row>
    <row r="16" spans="1:14">
      <c r="A16" s="10" t="s">
        <v>31</v>
      </c>
      <c r="B16" s="14"/>
      <c r="C16" s="15"/>
      <c r="D16" s="15"/>
      <c r="E16" s="15"/>
      <c r="F16" s="15"/>
      <c r="G16" s="50">
        <v>50</v>
      </c>
      <c r="H16" s="51"/>
      <c r="I16" s="51"/>
      <c r="J16" s="51"/>
      <c r="K16" s="51"/>
      <c r="L16" s="51"/>
      <c r="M16" s="52"/>
    </row>
    <row r="17" spans="1:13">
      <c r="A17" s="11" t="s">
        <v>19</v>
      </c>
      <c r="B17" s="6"/>
      <c r="C17" s="7"/>
      <c r="D17" s="7"/>
      <c r="E17" s="7"/>
      <c r="F17" s="7"/>
      <c r="G17" s="44">
        <f>G14*G15*G16/1024/1204</f>
        <v>392.93023255813955</v>
      </c>
      <c r="H17" s="45"/>
      <c r="I17" s="45"/>
      <c r="J17" s="45"/>
      <c r="K17" s="45"/>
      <c r="L17" s="45"/>
      <c r="M17" s="46"/>
    </row>
    <row r="20" spans="1:13" ht="21">
      <c r="A20" s="47" t="s">
        <v>61</v>
      </c>
      <c r="B20" s="48"/>
      <c r="C20" s="48"/>
      <c r="D20" s="48"/>
      <c r="E20" s="48"/>
      <c r="F20" s="48"/>
      <c r="G20" s="49"/>
    </row>
    <row r="21" spans="1:13">
      <c r="A21" s="79" t="s">
        <v>55</v>
      </c>
      <c r="B21" s="121" t="s">
        <v>59</v>
      </c>
      <c r="C21" s="122"/>
      <c r="D21" s="123" t="s">
        <v>57</v>
      </c>
      <c r="E21" s="123" t="s">
        <v>58</v>
      </c>
      <c r="F21" s="123" t="s">
        <v>62</v>
      </c>
      <c r="G21" s="123" t="s">
        <v>60</v>
      </c>
    </row>
    <row r="22" spans="1:13">
      <c r="A22" s="69" t="s">
        <v>63</v>
      </c>
      <c r="B22" s="76" t="s">
        <v>56</v>
      </c>
      <c r="C22" s="113" t="s">
        <v>64</v>
      </c>
      <c r="D22" s="127">
        <f>1000/2.42</f>
        <v>413.22314049586777</v>
      </c>
      <c r="E22" s="114">
        <v>24</v>
      </c>
      <c r="F22" s="114">
        <v>32.020000000000003</v>
      </c>
      <c r="G22" s="115">
        <v>6840</v>
      </c>
    </row>
    <row r="23" spans="1:13">
      <c r="A23" s="72"/>
      <c r="B23" s="77"/>
      <c r="C23" s="86" t="s">
        <v>65</v>
      </c>
      <c r="D23" s="128">
        <f>1000/2.42</f>
        <v>413.22314049586777</v>
      </c>
      <c r="E23" s="73">
        <v>24</v>
      </c>
      <c r="F23" s="73">
        <v>31.95</v>
      </c>
      <c r="G23" s="85">
        <v>6840</v>
      </c>
    </row>
    <row r="24" spans="1:13">
      <c r="A24" s="72"/>
      <c r="B24" s="77"/>
      <c r="C24" s="87" t="s">
        <v>66</v>
      </c>
      <c r="D24" s="129">
        <f>1000/2.42</f>
        <v>413.22314049586777</v>
      </c>
      <c r="E24" s="111">
        <v>24</v>
      </c>
      <c r="F24" s="111">
        <v>31.93</v>
      </c>
      <c r="G24" s="112">
        <v>6840</v>
      </c>
    </row>
    <row r="25" spans="1:13">
      <c r="A25" s="72"/>
      <c r="B25" s="78"/>
      <c r="C25" s="67" t="s">
        <v>67</v>
      </c>
      <c r="D25" s="130">
        <f>1000/1.84</f>
        <v>543.47826086956525</v>
      </c>
      <c r="E25" s="66">
        <v>7</v>
      </c>
      <c r="F25" s="67">
        <v>31.93</v>
      </c>
      <c r="G25" s="68">
        <v>6846</v>
      </c>
      <c r="I25" s="107" t="s">
        <v>84</v>
      </c>
      <c r="J25" s="108"/>
      <c r="K25" s="109"/>
    </row>
    <row r="26" spans="1:13">
      <c r="A26" s="72"/>
      <c r="B26" s="76" t="s">
        <v>68</v>
      </c>
      <c r="C26" s="70" t="s">
        <v>64</v>
      </c>
      <c r="D26" s="131">
        <f>1000/2.28</f>
        <v>438.59649122807019</v>
      </c>
      <c r="E26" s="70">
        <v>24</v>
      </c>
      <c r="F26" s="70">
        <v>32.020000000000003</v>
      </c>
      <c r="G26" s="71">
        <v>6840</v>
      </c>
      <c r="I26" s="116" t="s">
        <v>78</v>
      </c>
      <c r="J26" s="89" t="s">
        <v>79</v>
      </c>
      <c r="K26" s="90" t="s">
        <v>80</v>
      </c>
    </row>
    <row r="27" spans="1:13">
      <c r="A27" s="72"/>
      <c r="B27" s="77"/>
      <c r="C27" s="73" t="s">
        <v>65</v>
      </c>
      <c r="D27" s="128">
        <f>1000/2.28</f>
        <v>438.59649122807019</v>
      </c>
      <c r="E27" s="73">
        <v>24</v>
      </c>
      <c r="F27" s="73">
        <v>31.95</v>
      </c>
      <c r="G27" s="85">
        <v>6840</v>
      </c>
      <c r="I27" s="14">
        <v>300</v>
      </c>
      <c r="J27" s="80">
        <v>8113</v>
      </c>
      <c r="K27" s="83">
        <f>I27*J27</f>
        <v>2433900</v>
      </c>
    </row>
    <row r="28" spans="1:13">
      <c r="A28" s="72"/>
      <c r="B28" s="77"/>
      <c r="C28" s="73" t="s">
        <v>66</v>
      </c>
      <c r="D28" s="128">
        <f>1000/2.28</f>
        <v>438.59649122807019</v>
      </c>
      <c r="E28" s="73">
        <v>24</v>
      </c>
      <c r="F28" s="73">
        <v>31.95</v>
      </c>
      <c r="G28" s="85">
        <v>6840</v>
      </c>
      <c r="I28" s="84">
        <v>2</v>
      </c>
      <c r="J28" s="81"/>
      <c r="K28" s="83"/>
    </row>
    <row r="29" spans="1:13">
      <c r="A29" s="74"/>
      <c r="B29" s="78"/>
      <c r="C29" s="120" t="s">
        <v>67</v>
      </c>
      <c r="D29" s="132">
        <f>1000/1.82</f>
        <v>549.45054945054949</v>
      </c>
      <c r="E29" s="75">
        <v>7</v>
      </c>
      <c r="F29" s="67">
        <v>31.93</v>
      </c>
      <c r="G29" s="68">
        <v>6846</v>
      </c>
      <c r="I29" s="12">
        <f>E30/(I27*I28)</f>
        <v>2.0066666666666668</v>
      </c>
      <c r="J29" s="13" t="s">
        <v>77</v>
      </c>
      <c r="K29" s="82"/>
    </row>
    <row r="30" spans="1:13">
      <c r="A30" s="106" t="s">
        <v>70</v>
      </c>
      <c r="B30" s="93" t="s">
        <v>56</v>
      </c>
      <c r="C30" s="117" t="s">
        <v>64</v>
      </c>
      <c r="D30" s="133">
        <f>1000/6.5</f>
        <v>153.84615384615384</v>
      </c>
      <c r="E30" s="118">
        <f>1228-E22</f>
        <v>1204</v>
      </c>
      <c r="F30" s="118">
        <v>32.020000000000003</v>
      </c>
      <c r="G30" s="119">
        <f>4858530-G22</f>
        <v>4851690</v>
      </c>
      <c r="I30" s="6">
        <f>E34/(I27*I28)</f>
        <v>2.0066666666666668</v>
      </c>
      <c r="J30" s="7" t="s">
        <v>86</v>
      </c>
      <c r="K30" s="8"/>
    </row>
    <row r="31" spans="1:13">
      <c r="A31" s="94"/>
      <c r="B31" s="95"/>
      <c r="C31" s="96" t="s">
        <v>65</v>
      </c>
      <c r="D31" s="134">
        <f>1000/6.5</f>
        <v>153.84615384615384</v>
      </c>
      <c r="E31" s="97">
        <f>1228-E23</f>
        <v>1204</v>
      </c>
      <c r="F31" s="97">
        <v>32</v>
      </c>
      <c r="G31" s="98">
        <f>4858530-G23</f>
        <v>4851690</v>
      </c>
      <c r="I31" s="12">
        <f>G30/K27</f>
        <v>1.9933809934672748</v>
      </c>
      <c r="J31" s="13" t="s">
        <v>73</v>
      </c>
      <c r="K31" s="82"/>
    </row>
    <row r="32" spans="1:13">
      <c r="A32" s="94"/>
      <c r="B32" s="95"/>
      <c r="C32" s="99" t="s">
        <v>66</v>
      </c>
      <c r="D32" s="135">
        <f>1000/4.38</f>
        <v>228.31050228310502</v>
      </c>
      <c r="E32" s="100">
        <f>626-E24</f>
        <v>602</v>
      </c>
      <c r="F32" s="100">
        <v>32</v>
      </c>
      <c r="G32" s="101">
        <f>2432731-G24</f>
        <v>2425891</v>
      </c>
      <c r="I32" s="14">
        <f>G34/K27</f>
        <v>1.9933809934672748</v>
      </c>
      <c r="J32" s="15" t="s">
        <v>72</v>
      </c>
      <c r="K32" s="83"/>
    </row>
    <row r="33" spans="1:11">
      <c r="A33" s="94"/>
      <c r="B33" s="102"/>
      <c r="C33" s="103" t="s">
        <v>67</v>
      </c>
      <c r="D33" s="136">
        <f>1000/3.7</f>
        <v>270.27027027027026</v>
      </c>
      <c r="E33" s="110">
        <f>609-E25</f>
        <v>602</v>
      </c>
      <c r="F33" s="103">
        <v>32</v>
      </c>
      <c r="G33" s="104">
        <f>2432697-G25</f>
        <v>2425851</v>
      </c>
      <c r="I33" s="6">
        <f>G33/K27</f>
        <v>0.99669296191297918</v>
      </c>
      <c r="J33" s="7" t="s">
        <v>74</v>
      </c>
      <c r="K33" s="8"/>
    </row>
    <row r="34" spans="1:11">
      <c r="A34" s="94"/>
      <c r="B34" s="93" t="s">
        <v>68</v>
      </c>
      <c r="C34" s="113" t="s">
        <v>64</v>
      </c>
      <c r="D34" s="127">
        <f>1000/6.39</f>
        <v>156.49452269170581</v>
      </c>
      <c r="E34" s="114">
        <f>1228-E26</f>
        <v>1204</v>
      </c>
      <c r="F34" s="114">
        <v>32.020000000000003</v>
      </c>
      <c r="G34" s="115">
        <f>4858530-G26</f>
        <v>4851690</v>
      </c>
    </row>
    <row r="35" spans="1:11">
      <c r="A35" s="94"/>
      <c r="B35" s="95"/>
      <c r="C35" s="96" t="s">
        <v>65</v>
      </c>
      <c r="D35" s="134">
        <f>1000/6.35</f>
        <v>157.48031496062993</v>
      </c>
      <c r="E35" s="97">
        <f>1228-E27</f>
        <v>1204</v>
      </c>
      <c r="F35" s="97">
        <v>32</v>
      </c>
      <c r="G35" s="98">
        <f>4858530-G27</f>
        <v>4851690</v>
      </c>
    </row>
    <row r="36" spans="1:11">
      <c r="A36" s="94"/>
      <c r="B36" s="95"/>
      <c r="C36" s="99" t="s">
        <v>66</v>
      </c>
      <c r="D36" s="135">
        <f>1000/4.3</f>
        <v>232.55813953488374</v>
      </c>
      <c r="E36" s="100">
        <f>626-E28</f>
        <v>602</v>
      </c>
      <c r="F36" s="100">
        <v>32</v>
      </c>
      <c r="G36" s="101">
        <f>2432731-G28</f>
        <v>2425891</v>
      </c>
    </row>
    <row r="37" spans="1:11">
      <c r="A37" s="105"/>
      <c r="B37" s="102"/>
      <c r="C37" s="103" t="s">
        <v>67</v>
      </c>
      <c r="D37" s="136">
        <f>1000/3.71</f>
        <v>269.54177897574124</v>
      </c>
      <c r="E37" s="110">
        <f>609-E29</f>
        <v>602</v>
      </c>
      <c r="F37" s="103">
        <v>32</v>
      </c>
      <c r="G37" s="104">
        <f>2432697-G29</f>
        <v>2425851</v>
      </c>
    </row>
    <row r="38" spans="1:11">
      <c r="A38" s="88" t="s">
        <v>71</v>
      </c>
      <c r="B38" s="76" t="s">
        <v>56</v>
      </c>
      <c r="C38" s="113" t="s">
        <v>64</v>
      </c>
      <c r="D38" s="127">
        <f>1000/15.6</f>
        <v>64.102564102564102</v>
      </c>
      <c r="E38" s="124">
        <f>3339-E22</f>
        <v>3315</v>
      </c>
      <c r="F38" s="114">
        <v>32.229999999999997</v>
      </c>
      <c r="G38" s="115">
        <f>1799258-G22</f>
        <v>1792418</v>
      </c>
      <c r="I38" s="107" t="s">
        <v>85</v>
      </c>
      <c r="J38" s="108"/>
      <c r="K38" s="109"/>
    </row>
    <row r="39" spans="1:11">
      <c r="A39" s="72"/>
      <c r="B39" s="77"/>
      <c r="C39" s="86" t="s">
        <v>65</v>
      </c>
      <c r="D39" s="128">
        <f>1000/16.7</f>
        <v>59.880239520958085</v>
      </c>
      <c r="E39" s="73">
        <f>34398-E23</f>
        <v>34374</v>
      </c>
      <c r="F39" s="73">
        <v>32.14</v>
      </c>
      <c r="G39" s="85">
        <f>1823458-G23</f>
        <v>1816618</v>
      </c>
      <c r="I39" s="116" t="s">
        <v>81</v>
      </c>
      <c r="J39" s="89" t="s">
        <v>79</v>
      </c>
      <c r="K39" s="90" t="s">
        <v>80</v>
      </c>
    </row>
    <row r="40" spans="1:11">
      <c r="A40" s="72"/>
      <c r="B40" s="77"/>
      <c r="C40" s="87" t="s">
        <v>66</v>
      </c>
      <c r="D40" s="129">
        <f>1000/5.8</f>
        <v>172.41379310344828</v>
      </c>
      <c r="E40" s="111">
        <f>927-E24</f>
        <v>903</v>
      </c>
      <c r="F40" s="111">
        <v>32.14</v>
      </c>
      <c r="G40" s="112">
        <f>484640-G24</f>
        <v>477800</v>
      </c>
      <c r="I40" s="14">
        <v>100</v>
      </c>
      <c r="J40" s="80">
        <v>4535</v>
      </c>
      <c r="K40" s="83">
        <f>I40*J40</f>
        <v>453500</v>
      </c>
    </row>
    <row r="41" spans="1:11">
      <c r="A41" s="72"/>
      <c r="B41" s="78"/>
      <c r="C41" s="67" t="s">
        <v>67</v>
      </c>
      <c r="D41" s="136">
        <f>1000/5.6</f>
        <v>178.57142857142858</v>
      </c>
      <c r="E41" s="110">
        <f>1013-E25</f>
        <v>1006</v>
      </c>
      <c r="F41" s="67">
        <v>31.98</v>
      </c>
      <c r="G41" s="68">
        <f>484606-G25</f>
        <v>477760</v>
      </c>
      <c r="I41" s="84">
        <v>7</v>
      </c>
      <c r="J41" s="81"/>
      <c r="K41" s="83"/>
    </row>
    <row r="42" spans="1:11">
      <c r="A42" s="72"/>
      <c r="B42" s="76" t="s">
        <v>68</v>
      </c>
      <c r="C42" s="113" t="s">
        <v>64</v>
      </c>
      <c r="D42" s="127">
        <f>1000/7.3</f>
        <v>136.98630136986301</v>
      </c>
      <c r="E42" s="124">
        <f>1630-E26</f>
        <v>1606</v>
      </c>
      <c r="F42" s="114">
        <v>32.07</v>
      </c>
      <c r="G42" s="115">
        <f>913964-G26</f>
        <v>907124</v>
      </c>
      <c r="I42" s="12">
        <f>E38/(I40*I41)</f>
        <v>4.7357142857142858</v>
      </c>
      <c r="J42" s="13" t="s">
        <v>82</v>
      </c>
      <c r="K42" s="82"/>
    </row>
    <row r="43" spans="1:11">
      <c r="A43" s="72"/>
      <c r="B43" s="77"/>
      <c r="C43" s="86" t="s">
        <v>65</v>
      </c>
      <c r="D43" s="128">
        <f>1000/7.6</f>
        <v>131.57894736842107</v>
      </c>
      <c r="E43" s="73">
        <f>1630-E27</f>
        <v>1606</v>
      </c>
      <c r="F43" s="73">
        <v>32.06</v>
      </c>
      <c r="G43" s="85">
        <f>913964-G27</f>
        <v>907124</v>
      </c>
      <c r="I43" s="6">
        <f>E42/(I40*I41)</f>
        <v>2.2942857142857145</v>
      </c>
      <c r="J43" s="7" t="s">
        <v>86</v>
      </c>
      <c r="K43" s="8"/>
    </row>
    <row r="44" spans="1:11">
      <c r="A44" s="72"/>
      <c r="B44" s="77"/>
      <c r="C44" s="87" t="s">
        <v>66</v>
      </c>
      <c r="D44" s="129">
        <f>1000/5.45</f>
        <v>183.48623853211009</v>
      </c>
      <c r="E44" s="111">
        <f>927-E28</f>
        <v>903</v>
      </c>
      <c r="F44" s="111">
        <v>32.06</v>
      </c>
      <c r="G44" s="112">
        <f>484640-G28</f>
        <v>477800</v>
      </c>
      <c r="I44" s="12">
        <f>G38/K40</f>
        <v>3.9524101433296583</v>
      </c>
      <c r="J44" s="13" t="s">
        <v>83</v>
      </c>
      <c r="K44" s="82"/>
    </row>
    <row r="45" spans="1:11">
      <c r="A45" s="74"/>
      <c r="B45" s="78"/>
      <c r="C45" s="67" t="s">
        <v>67</v>
      </c>
      <c r="D45" s="136">
        <f>1000/5.25</f>
        <v>190.47619047619048</v>
      </c>
      <c r="E45" s="110">
        <f>910-E29</f>
        <v>903</v>
      </c>
      <c r="F45" s="67">
        <v>31.99</v>
      </c>
      <c r="G45" s="68">
        <f>484606-G29</f>
        <v>477760</v>
      </c>
      <c r="I45" s="14">
        <f>G42/K40</f>
        <v>2.0002734288864388</v>
      </c>
      <c r="J45" s="15" t="s">
        <v>72</v>
      </c>
      <c r="K45" s="83"/>
    </row>
    <row r="46" spans="1:11">
      <c r="I46" s="6">
        <f>G41/K40</f>
        <v>1.053495038588754</v>
      </c>
      <c r="J46" s="7" t="s">
        <v>74</v>
      </c>
      <c r="K46" s="8"/>
    </row>
    <row r="47" spans="1:11" ht="21">
      <c r="A47" s="47" t="s">
        <v>88</v>
      </c>
      <c r="B47" s="48"/>
      <c r="C47" s="48"/>
      <c r="D47" s="48"/>
      <c r="E47" s="49"/>
    </row>
    <row r="48" spans="1:11">
      <c r="A48" s="125" t="s">
        <v>89</v>
      </c>
      <c r="B48" s="126" t="s">
        <v>69</v>
      </c>
      <c r="C48" s="126" t="s">
        <v>90</v>
      </c>
      <c r="D48" s="91" t="s">
        <v>87</v>
      </c>
      <c r="E48" s="92"/>
    </row>
    <row r="49" spans="1:5">
      <c r="A49" s="9" t="s">
        <v>76</v>
      </c>
      <c r="B49" s="13">
        <v>2</v>
      </c>
      <c r="C49" s="13">
        <v>2</v>
      </c>
      <c r="D49" s="13">
        <v>1</v>
      </c>
      <c r="E49" s="82"/>
    </row>
    <row r="50" spans="1:5">
      <c r="A50" s="11" t="s">
        <v>75</v>
      </c>
      <c r="B50" s="7">
        <v>2</v>
      </c>
      <c r="C50" s="7">
        <v>4</v>
      </c>
      <c r="D50" s="7">
        <v>1</v>
      </c>
      <c r="E50" s="8"/>
    </row>
    <row r="51" spans="1:5">
      <c r="B51">
        <f>E38/E42</f>
        <v>2.064134495641345</v>
      </c>
    </row>
  </sheetData>
  <mergeCells count="26">
    <mergeCell ref="I38:K38"/>
    <mergeCell ref="I25:K25"/>
    <mergeCell ref="A47:E47"/>
    <mergeCell ref="A30:A37"/>
    <mergeCell ref="B30:B33"/>
    <mergeCell ref="B34:B37"/>
    <mergeCell ref="A38:A45"/>
    <mergeCell ref="B38:B41"/>
    <mergeCell ref="B42:B45"/>
    <mergeCell ref="A1:M1"/>
    <mergeCell ref="B21:C21"/>
    <mergeCell ref="A22:A29"/>
    <mergeCell ref="A20:G20"/>
    <mergeCell ref="B22:B25"/>
    <mergeCell ref="B26:B29"/>
    <mergeCell ref="G17:M17"/>
    <mergeCell ref="A6:M6"/>
    <mergeCell ref="G8:M8"/>
    <mergeCell ref="G9:M9"/>
    <mergeCell ref="G10:M10"/>
    <mergeCell ref="G11:M11"/>
    <mergeCell ref="G12:M12"/>
    <mergeCell ref="G13:M13"/>
    <mergeCell ref="G14:M14"/>
    <mergeCell ref="G15:M15"/>
    <mergeCell ref="G16:M16"/>
  </mergeCells>
  <phoneticPr fontId="7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O5"/>
  <sheetViews>
    <sheetView workbookViewId="0">
      <selection activeCell="H20" sqref="H20"/>
    </sheetView>
  </sheetViews>
  <sheetFormatPr defaultRowHeight="13.5"/>
  <cols>
    <col min="1" max="1" width="5.25" bestFit="1" customWidth="1"/>
    <col min="2" max="2" width="10.5" bestFit="1" customWidth="1"/>
    <col min="3" max="3" width="5.25" bestFit="1" customWidth="1"/>
    <col min="4" max="4" width="14.5" bestFit="1" customWidth="1"/>
    <col min="5" max="5" width="12.75" bestFit="1" customWidth="1"/>
    <col min="6" max="6" width="10.5" bestFit="1" customWidth="1"/>
    <col min="7" max="7" width="11.5" customWidth="1"/>
    <col min="8" max="8" width="7.125" bestFit="1" customWidth="1"/>
    <col min="9" max="9" width="10.5" bestFit="1" customWidth="1"/>
    <col min="10" max="10" width="14.5" bestFit="1" customWidth="1"/>
    <col min="11" max="11" width="12.875" bestFit="1" customWidth="1"/>
    <col min="12" max="12" width="11" customWidth="1"/>
    <col min="13" max="13" width="9.5" bestFit="1" customWidth="1"/>
    <col min="14" max="14" width="9.5" customWidth="1"/>
    <col min="15" max="15" width="11" bestFit="1" customWidth="1"/>
  </cols>
  <sheetData>
    <row r="2" spans="1:15" s="21" customFormat="1" ht="31.5" customHeight="1">
      <c r="A2" s="36" t="s">
        <v>21</v>
      </c>
      <c r="B2" s="37" t="s">
        <v>23</v>
      </c>
      <c r="C2" s="37" t="s">
        <v>24</v>
      </c>
      <c r="D2" s="37" t="s">
        <v>54</v>
      </c>
      <c r="E2" s="37" t="s">
        <v>35</v>
      </c>
      <c r="F2" s="37" t="s">
        <v>40</v>
      </c>
      <c r="G2" s="37" t="s">
        <v>45</v>
      </c>
      <c r="H2" s="37" t="s">
        <v>36</v>
      </c>
      <c r="I2" s="37" t="s">
        <v>37</v>
      </c>
      <c r="J2" s="56" t="s">
        <v>44</v>
      </c>
      <c r="K2" s="56"/>
      <c r="L2" s="37" t="s">
        <v>43</v>
      </c>
      <c r="M2" s="37" t="s">
        <v>39</v>
      </c>
      <c r="N2" s="37" t="s">
        <v>27</v>
      </c>
      <c r="O2" s="38" t="s">
        <v>41</v>
      </c>
    </row>
    <row r="3" spans="1:15">
      <c r="A3" s="50" t="s">
        <v>22</v>
      </c>
      <c r="B3" s="15" t="s">
        <v>26</v>
      </c>
      <c r="C3" s="51" t="s">
        <v>34</v>
      </c>
      <c r="D3" s="26">
        <f>1024*1024*4</f>
        <v>4194304</v>
      </c>
      <c r="E3" s="26">
        <v>1960432</v>
      </c>
      <c r="F3" s="61">
        <f>SUM(E3:E4)</f>
        <v>2201925</v>
      </c>
      <c r="G3" s="59">
        <f>E3/E4</f>
        <v>8.1179661522280142</v>
      </c>
      <c r="H3" s="59">
        <f>(E3-E4)/(1024*1024)</f>
        <v>1.639307975769043</v>
      </c>
      <c r="I3" s="27" t="s">
        <v>38</v>
      </c>
      <c r="J3" s="35">
        <f>1.33*1024*1024</f>
        <v>1394606.0800000001</v>
      </c>
      <c r="K3" s="61">
        <v>2034995</v>
      </c>
      <c r="L3" s="57">
        <f>J3/J4</f>
        <v>7.9528175182481755</v>
      </c>
      <c r="M3" s="63">
        <f>K3-F3</f>
        <v>-166930</v>
      </c>
      <c r="N3" s="28">
        <f>J3/D3</f>
        <v>0.33250000000000002</v>
      </c>
      <c r="O3" s="29" t="s">
        <v>42</v>
      </c>
    </row>
    <row r="4" spans="1:15">
      <c r="A4" s="44"/>
      <c r="B4" s="7" t="s">
        <v>25</v>
      </c>
      <c r="C4" s="45"/>
      <c r="D4" s="30">
        <f>512*256*4</f>
        <v>524288</v>
      </c>
      <c r="E4" s="30">
        <v>241493</v>
      </c>
      <c r="F4" s="65"/>
      <c r="G4" s="60"/>
      <c r="H4" s="60"/>
      <c r="I4" s="31" t="s">
        <v>38</v>
      </c>
      <c r="J4" s="32">
        <f>1024*171.25</f>
        <v>175360</v>
      </c>
      <c r="K4" s="62"/>
      <c r="L4" s="58"/>
      <c r="M4" s="64"/>
      <c r="N4" s="33">
        <f>J4/D4</f>
        <v>0.33447265625</v>
      </c>
      <c r="O4" s="34" t="s">
        <v>42</v>
      </c>
    </row>
    <row r="5" spans="1:15">
      <c r="D5" s="23">
        <f>D3+D4</f>
        <v>4718592</v>
      </c>
      <c r="G5" s="22"/>
      <c r="J5" s="24">
        <f>J3+J4</f>
        <v>1569966.0800000001</v>
      </c>
      <c r="K5" s="25">
        <f>(K3-J5)/1024/1024</f>
        <v>0.44348613739013665</v>
      </c>
    </row>
  </sheetData>
  <mergeCells count="9">
    <mergeCell ref="M3:M4"/>
    <mergeCell ref="F3:F4"/>
    <mergeCell ref="J2:K2"/>
    <mergeCell ref="L3:L4"/>
    <mergeCell ref="C3:C4"/>
    <mergeCell ref="G3:G4"/>
    <mergeCell ref="A3:A4"/>
    <mergeCell ref="H3:H4"/>
    <mergeCell ref="K3:K4"/>
  </mergeCells>
  <phoneticPr fontId="7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角色</vt:lpstr>
      <vt:lpstr>贴图测试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陈旺.oscarken</dc:creator>
  <cp:lastModifiedBy>陈旺.oscarken</cp:lastModifiedBy>
  <dcterms:created xsi:type="dcterms:W3CDTF">2012-03-09T05:36:16Z</dcterms:created>
  <dcterms:modified xsi:type="dcterms:W3CDTF">2012-03-12T06:55:57Z</dcterms:modified>
</cp:coreProperties>
</file>